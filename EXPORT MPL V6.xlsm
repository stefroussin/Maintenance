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on Drive\05. ITC\1. paramétrage\Maintenance\"/>
    </mc:Choice>
  </mc:AlternateContent>
  <bookViews>
    <workbookView xWindow="0" yWindow="0" windowWidth="14520" windowHeight="8052" tabRatio="865"/>
  </bookViews>
  <sheets>
    <sheet name="Cobas PRO (2)" sheetId="87" r:id="rId1"/>
    <sheet name="c501" sheetId="84" r:id="rId2"/>
    <sheet name="Cobas PRO" sheetId="83" state="hidden" r:id="rId3"/>
    <sheet name="Cobas PRO Perso" sheetId="86" state="hidden" r:id="rId4"/>
    <sheet name="cobas 6000" sheetId="44" r:id="rId5"/>
    <sheet name="cobas 8000" sheetId="57" r:id="rId6"/>
    <sheet name="Integra 400" sheetId="58" r:id="rId7"/>
    <sheet name="Utilisation" sheetId="82" r:id="rId8"/>
    <sheet name="MPL EXPORT" sheetId="80" state="hidden" r:id="rId9"/>
  </sheets>
  <definedNames>
    <definedName name="_xlnm._FilterDatabase" localSheetId="5" hidden="1">'cobas 8000'!#REF!</definedName>
    <definedName name="BA" localSheetId="8">OFFSET(#REF!,0,0,COUNTA(#REF!),1)</definedName>
    <definedName name="Choix" localSheetId="1">#REF!</definedName>
    <definedName name="Choix" localSheetId="2">#REF!</definedName>
    <definedName name="Choix" localSheetId="0">#REF!</definedName>
    <definedName name="Choix" localSheetId="8">#REF!</definedName>
    <definedName name="Choix">#REF!</definedName>
    <definedName name="frequence" localSheetId="8">#REF!</definedName>
    <definedName name="Haut" localSheetId="8">OFFSET(#REF!,0,0,COUNTA(#REF!),1)</definedName>
    <definedName name="pl" localSheetId="8">OFFSET(#REF!,0,0,COUNTA(#REF!),1)</definedName>
    <definedName name="TVA" localSheetId="8">#REF!</definedName>
  </definedNames>
  <calcPr calcId="162913"/>
</workbook>
</file>

<file path=xl/calcChain.xml><?xml version="1.0" encoding="utf-8"?>
<calcChain xmlns="http://schemas.openxmlformats.org/spreadsheetml/2006/main">
  <c r="A4" i="57" l="1"/>
  <c r="A5" i="57"/>
  <c r="A6" i="57"/>
  <c r="A7" i="57"/>
  <c r="A8" i="57"/>
  <c r="A9" i="57"/>
  <c r="A10" i="57"/>
  <c r="A11" i="57"/>
  <c r="A12" i="57"/>
  <c r="A13" i="57"/>
  <c r="A14" i="57"/>
  <c r="A15" i="57"/>
  <c r="A16" i="57"/>
  <c r="A17" i="57"/>
  <c r="A18" i="57"/>
  <c r="A19" i="57"/>
  <c r="A20" i="57"/>
  <c r="A21" i="57"/>
  <c r="A22" i="57"/>
  <c r="A23" i="57"/>
  <c r="A24" i="57"/>
  <c r="A25" i="57"/>
  <c r="A26" i="57"/>
  <c r="A27" i="57"/>
  <c r="A28" i="57"/>
  <c r="A29" i="57"/>
  <c r="A30" i="57"/>
  <c r="A31" i="57"/>
  <c r="A32" i="57"/>
  <c r="A33" i="57"/>
  <c r="A34" i="57"/>
  <c r="A35" i="57"/>
  <c r="A36" i="57"/>
  <c r="A37" i="57"/>
  <c r="A38" i="57"/>
  <c r="A39" i="57"/>
  <c r="A40" i="57"/>
  <c r="A41" i="57"/>
  <c r="A42" i="57"/>
  <c r="A43" i="57"/>
  <c r="A44" i="57"/>
  <c r="A3" i="57"/>
</calcChain>
</file>

<file path=xl/sharedStrings.xml><?xml version="1.0" encoding="utf-8"?>
<sst xmlns="http://schemas.openxmlformats.org/spreadsheetml/2006/main" count="1941" uniqueCount="335">
  <si>
    <t>L</t>
  </si>
  <si>
    <t>M</t>
  </si>
  <si>
    <t>J</t>
  </si>
  <si>
    <t>D</t>
  </si>
  <si>
    <t>Journalière</t>
  </si>
  <si>
    <t>Hebdomadaire</t>
  </si>
  <si>
    <t>15 jours</t>
  </si>
  <si>
    <t>Mensuelle</t>
  </si>
  <si>
    <t>Bimestrielle</t>
  </si>
  <si>
    <t>Trimestrielle</t>
  </si>
  <si>
    <t>Semestrielle</t>
  </si>
  <si>
    <t>Non périodique</t>
  </si>
  <si>
    <t>Séquence mensuelle(blanc cuve)</t>
  </si>
  <si>
    <t>c501 - Aiguilles échantillon</t>
  </si>
  <si>
    <t>c501 - Aiguilles Réactifs</t>
  </si>
  <si>
    <t>c501 - Unités rinçage</t>
  </si>
  <si>
    <t>c501 - Drain ISE</t>
  </si>
  <si>
    <t>c501 - Rack vert</t>
  </si>
  <si>
    <t>c501- Nettoyage des puits de rinçage</t>
  </si>
  <si>
    <t>c501 - Puits de séchage aiguille échantillon</t>
  </si>
  <si>
    <t>c501 - Plaques de protection des cuves</t>
  </si>
  <si>
    <t>c501 - Incubateur SI</t>
  </si>
  <si>
    <t>Core - Arrêt Analyseur</t>
  </si>
  <si>
    <t>Core - Vérification cobas Link</t>
  </si>
  <si>
    <t>c501 - Réservoir de vide</t>
  </si>
  <si>
    <t>c501 - Remplacement de la lampe</t>
  </si>
  <si>
    <t>c501 - Cuvettes réactionnelles</t>
  </si>
  <si>
    <t>c501 - Bain d’incubation + filtre BM</t>
  </si>
  <si>
    <t>c501 - Filtres automates x4</t>
  </si>
  <si>
    <t>Core - Réservoir eau (Bidon noir)</t>
  </si>
  <si>
    <t>c501 - Amorçage réactif (8)</t>
  </si>
  <si>
    <t>c501 - Contrôles électrodes x10 (Vérification)</t>
  </si>
  <si>
    <t>c501 - Tuyau de pinch valve ISE</t>
  </si>
  <si>
    <t>c501 - Agitateurs Ultrason</t>
  </si>
  <si>
    <t>c501 - Electrode de référence</t>
  </si>
  <si>
    <t>c501 - Filtre d’aspiration du KCL</t>
  </si>
  <si>
    <t>e602 - Puits de rinçage</t>
  </si>
  <si>
    <t>e801 - Puits de rinçage</t>
  </si>
  <si>
    <t>e801 - Nettoyer le filtre du module de refroidissement</t>
  </si>
  <si>
    <t>ISE - Tuyau de pinch valve</t>
  </si>
  <si>
    <t>ISE - Filtre d’aspiration du KCL</t>
  </si>
  <si>
    <t>Remplacement des consommables</t>
  </si>
  <si>
    <t>Maintenance quotidienne</t>
  </si>
  <si>
    <t>Maintenance hebdomadaire</t>
  </si>
  <si>
    <t>Maintenance mensuelle</t>
  </si>
  <si>
    <t>Maintenance trimestrielle</t>
  </si>
  <si>
    <t>Maintenance semestrielle</t>
  </si>
  <si>
    <t>Si besoin</t>
  </si>
  <si>
    <t>M - Remplissage du reservoir de cuvette</t>
  </si>
  <si>
    <t>M - Remplacement de la poubelle des cuvettes</t>
  </si>
  <si>
    <t>M - Remplacement des flacons du module ISE</t>
  </si>
  <si>
    <t>DDJ - Initialiser le module ISE</t>
  </si>
  <si>
    <t>DDJ - Entretien des electrodes</t>
  </si>
  <si>
    <t>DDJ - Amorçer les calibrateurs ISE</t>
  </si>
  <si>
    <t>DDJ - Nettoyage automatique tour ISE</t>
  </si>
  <si>
    <t>M - Nettoyer aiguilles et  anti-projections</t>
  </si>
  <si>
    <t>M - Nettoyer le connecteur poubelle</t>
  </si>
  <si>
    <t>M - Nettoyer manuellement tour ISE</t>
  </si>
  <si>
    <t>M - Remplacer filtres de ventilation</t>
  </si>
  <si>
    <t>M - Remplacer le filtre du reservoir d'eau externe</t>
  </si>
  <si>
    <t>M - Nettoyer lubrifier le rotor</t>
  </si>
  <si>
    <t>Tous les 2 ans</t>
  </si>
  <si>
    <t>M - Remplacer les fusibles</t>
  </si>
  <si>
    <t>M - Nettoyer la station de lavage</t>
  </si>
  <si>
    <t>M - Nettoyer l'appareil</t>
  </si>
  <si>
    <t>M - Remplacer aiguilles B et C</t>
  </si>
  <si>
    <t>B</t>
  </si>
  <si>
    <t>N</t>
  </si>
  <si>
    <t>A</t>
  </si>
  <si>
    <t>C</t>
  </si>
  <si>
    <t>E</t>
  </si>
  <si>
    <t>F</t>
  </si>
  <si>
    <t>G</t>
  </si>
  <si>
    <t>H</t>
  </si>
  <si>
    <t>I</t>
  </si>
  <si>
    <t>K</t>
  </si>
  <si>
    <t>R</t>
  </si>
  <si>
    <t>Journaliere</t>
  </si>
  <si>
    <t>Non periodique</t>
  </si>
  <si>
    <t>Séquence matin</t>
  </si>
  <si>
    <t>Séquence fin de semaine</t>
  </si>
  <si>
    <t>c501 - Filtre d'aspiration des détergents c501 Module en Attente</t>
  </si>
  <si>
    <t>c501 - Remplacement des Electrodes Na K Cl</t>
  </si>
  <si>
    <t>c701 et c502 - Plaques de protection des cuves</t>
  </si>
  <si>
    <t>c701 et c502 - Filtre</t>
  </si>
  <si>
    <t>c701 et c502 - Bain d’incubation</t>
  </si>
  <si>
    <t>c701 et c502 -Remplacement de la lampe</t>
  </si>
  <si>
    <t>c701 et c502 - Filtres BM</t>
  </si>
  <si>
    <t>DDJ - Deproteiniser les aiguilles</t>
  </si>
  <si>
    <t>DDJ - Activer les electrodes</t>
  </si>
  <si>
    <t>DDJ - Sauvegarde base de donnees</t>
  </si>
  <si>
    <t>DDJ - Amorçer le systeme de fluides</t>
  </si>
  <si>
    <t>c701 et c502 et ISE - Nettoyage Aiguilles échantillon</t>
  </si>
  <si>
    <t>c502 - Puits de séchage aiguille échantillon</t>
  </si>
  <si>
    <t>e602 - Nettoyage zone d’aspiration : injecteurs et  électrodes PC et CC</t>
  </si>
  <si>
    <t>e602 - Remplacement des réservoirs PC et CC</t>
  </si>
  <si>
    <t>e602 - Nettoyage incubateur et zone de prélavage (si requis)</t>
  </si>
  <si>
    <t>Arrêt Analyseur</t>
  </si>
  <si>
    <t>Vérification cobas Link</t>
  </si>
  <si>
    <t>e801 - Nettoyage incubateur et zone de prélavage</t>
  </si>
  <si>
    <t>c701 et c502 - Cuvettes réactionnelles</t>
  </si>
  <si>
    <t>Remplacement des Electrodes Na K Cl (amorcage réactif et contrôle électrode)</t>
  </si>
  <si>
    <t>Réservoir eau (bidon noir)</t>
  </si>
  <si>
    <t>c701 - Filtre valve solenoïde</t>
  </si>
  <si>
    <t>ISE - Electrode de référence</t>
  </si>
  <si>
    <t>C701 et c502 - Filtre d'aspiration des détergents (et amorcage détergent)</t>
  </si>
  <si>
    <t>Séquence de Maintenance 1 jour</t>
  </si>
  <si>
    <t>M - Nettoyer réservoir d'eau externe et de vidange</t>
  </si>
  <si>
    <t>M - Nettoyer réservoir interne</t>
  </si>
  <si>
    <t>M - Remplacer électrode de référence</t>
  </si>
  <si>
    <t>M- Remplacer tuyaux ISE (SAV ROCHE)</t>
  </si>
  <si>
    <t>M - Remplacer les embouts téflon  (SAV ROCHE)</t>
  </si>
  <si>
    <t>M - Service technique Roche (SAV ROCHE)</t>
  </si>
  <si>
    <t>M - Remplacement électrode Na K</t>
  </si>
  <si>
    <t>M - Remplacement électrode Cl</t>
  </si>
  <si>
    <t>Maintenance 4 mois</t>
  </si>
  <si>
    <t>M - Remplacer électrode Li</t>
  </si>
  <si>
    <t>e801 - Nettoyage tuyaux asp et  PC et support flacon</t>
  </si>
  <si>
    <t>Redémarrage DM</t>
  </si>
  <si>
    <t>Effacement des calibrations IONOS</t>
  </si>
  <si>
    <t>Séquence Hebdomadaire</t>
  </si>
  <si>
    <t>c701 et c502 et ISE - Vérif. aiguilles réactifs  et unités rinçage</t>
  </si>
  <si>
    <t>c701 et c502 et ISE - Rack vert</t>
  </si>
  <si>
    <t>e602 et e801 - Nettoyage aiguilles (aspiration et prélavage)</t>
  </si>
  <si>
    <t>e602 et e801 - Nettoyage pipettes (échantillon et  réactif)</t>
  </si>
  <si>
    <t>ISE - Orifice écoulement ISE</t>
  </si>
  <si>
    <t>c701 et c502 et ISE - Réservoir de vide</t>
  </si>
  <si>
    <t>c701 et c502 et ISE - Puits de rinçage</t>
  </si>
  <si>
    <t>e602 - Séquence bimens (maintenance Cellule de Mesure)</t>
  </si>
  <si>
    <t>e801 - Nettoyage buse PC et CC et remplacement réservoirs</t>
  </si>
  <si>
    <t>ISE - Godet dilution (nettoyage si cristallisation)</t>
  </si>
  <si>
    <t>e602 - Tuyau pinch valve ( et séquence pinch e602)</t>
  </si>
  <si>
    <t>CORE - Dépoussierer les ventilateurs de refroidissement</t>
  </si>
  <si>
    <t>Sauvegarde et effacement</t>
  </si>
  <si>
    <t>Automate</t>
  </si>
  <si>
    <t>Catégorie</t>
  </si>
  <si>
    <t>Ordre</t>
  </si>
  <si>
    <t>Actions</t>
  </si>
  <si>
    <t>Type action</t>
  </si>
  <si>
    <t>Fréquence</t>
  </si>
  <si>
    <t>N° Catégorie</t>
  </si>
  <si>
    <t>cobas - séquence arrêt &gt;24h</t>
  </si>
  <si>
    <t>cobas 8000</t>
  </si>
  <si>
    <t>I400+</t>
  </si>
  <si>
    <t>M - Remplacer la lampe halogène Abs (800h)</t>
  </si>
  <si>
    <t>Cobas 6000</t>
  </si>
  <si>
    <t>Copier le fichier EXPORT MPL dans un dossier</t>
  </si>
  <si>
    <t>Vérifier et compléter si besoin les action de maintenance à réaliser</t>
  </si>
  <si>
    <t>Automate = désignation de l'automate (peut correspondre à l'automate parent dans MPL)</t>
  </si>
  <si>
    <t>N° Catégorie = N° de la catégorie de lmaintenance (par ex: 1 pour journalière, 2 pour hebdomadaire, etc.)</t>
  </si>
  <si>
    <t>Catégorie = Nom de la catégorie</t>
  </si>
  <si>
    <t xml:space="preserve">Ordre = ordre de l'affichage </t>
  </si>
  <si>
    <t>Actions = description de l'action à réaliser</t>
  </si>
  <si>
    <t>Type Action (E=Exécuter, N= Nettoyer, R= Remplacer, C= Contrôler)</t>
  </si>
  <si>
    <t>Fréquence = fréquence en jour(s)</t>
  </si>
  <si>
    <r>
      <t>Cliquer sur icône "</t>
    </r>
    <r>
      <rPr>
        <b/>
        <sz val="11"/>
        <color theme="1"/>
        <rFont val="Calibri"/>
        <family val="2"/>
        <scheme val="minor"/>
      </rPr>
      <t>MPL evo2</t>
    </r>
    <r>
      <rPr>
        <sz val="11"/>
        <color theme="1"/>
        <rFont val="Calibri"/>
        <family val="2"/>
        <scheme val="minor"/>
      </rPr>
      <t>"</t>
    </r>
  </si>
  <si>
    <t>Récupérer le fichier .Txt puis le copier dans l'onglet GBEA sur le serveur MPL</t>
  </si>
  <si>
    <t>Sur MPL : Configuration : import, sélectionner le fichier.txt</t>
  </si>
  <si>
    <t>Marquer en vrai les lignes voulues</t>
  </si>
  <si>
    <t>Renseigner le nom de l'automate dans la colonne A</t>
  </si>
  <si>
    <t>-</t>
  </si>
  <si>
    <t>e601 - Nettoyage pipettes (échantillon et réactif)</t>
  </si>
  <si>
    <t>e601 - Nettoyage aiguilles (aspiration et prélavage)</t>
  </si>
  <si>
    <t>e601 - Nettoyage zone d’aspiration : injecteurs et électrodes PC/CC</t>
  </si>
  <si>
    <t>e601 - remplacement des réservoirs PC/CC</t>
  </si>
  <si>
    <t>e601 - Nettoyage incubateur et zone de prélavage (si requis)</t>
  </si>
  <si>
    <t>e601 - Aire d’éjection des embouts et des cuvettes (si requis)</t>
  </si>
  <si>
    <t>e601 - Vortex</t>
  </si>
  <si>
    <t>e601 - Nettoyage des puits de rinçage</t>
  </si>
  <si>
    <t>Maintenance Cellule de mesure(associée au nettoyge cuve/blanc cuve)</t>
  </si>
  <si>
    <t>e601 - Nettoyage incubateur et zone de prélavage</t>
  </si>
  <si>
    <t>e601 - Aire d’éjection des embouts et des cuvettes</t>
  </si>
  <si>
    <t>e601 - Tuyaux de Pinch Valve</t>
  </si>
  <si>
    <t>Séquence pinch e</t>
  </si>
  <si>
    <t>Aller boire un café!</t>
  </si>
  <si>
    <t>c701 et c502 et e801 Séquence mens - blanc cuve + Maintenance Cellules et circuits de prélavage du e801</t>
  </si>
  <si>
    <t>c701 et c502 Séquence mens - blanc cuve</t>
  </si>
  <si>
    <t>Nettoyage bidon d'eau</t>
  </si>
  <si>
    <t>COBAS PRO 1</t>
  </si>
  <si>
    <t>JOUR</t>
  </si>
  <si>
    <t>Nettoyage des aiguilles e801</t>
  </si>
  <si>
    <t>Rack de lavage quotidien</t>
  </si>
  <si>
    <t>HEBDO</t>
  </si>
  <si>
    <t xml:space="preserve">Rack de lavage hebdo </t>
  </si>
  <si>
    <t>Verif. / Nettoyage aiguilles reactifs c503</t>
  </si>
  <si>
    <t>Verif. / Nettoyage station de lavage c503</t>
  </si>
  <si>
    <t>Nettoyage couvercles des cuves</t>
  </si>
  <si>
    <t>Nettoyage puits de rinçage ISE</t>
  </si>
  <si>
    <t>C/R</t>
  </si>
  <si>
    <t>Nettoyage puits de rinçage c503</t>
  </si>
  <si>
    <t>Nettoyage puits de rinçage e801</t>
  </si>
  <si>
    <t>Nettoyage des tiges d'aspiration Procell</t>
  </si>
  <si>
    <t>Remplacement cupules CC/PC</t>
  </si>
  <si>
    <t>Verif. / Nettoyage des vortex et stations de separations</t>
  </si>
  <si>
    <t>Verif. / Nettoyage incubateur</t>
  </si>
  <si>
    <t>Verif. / Nettoyage palette agitateur</t>
  </si>
  <si>
    <t>Vidange piege à eau du degazeur</t>
  </si>
  <si>
    <t>Verification du godet de dilution ISE</t>
  </si>
  <si>
    <t>Maintenance du système photometrique (cuves et lampes)</t>
  </si>
  <si>
    <t>Nettoyage des filtres</t>
  </si>
  <si>
    <t>Nettoyage du circuit ISE</t>
  </si>
  <si>
    <t>AA</t>
  </si>
  <si>
    <t>ACTH</t>
  </si>
  <si>
    <t>AB</t>
  </si>
  <si>
    <t>AFP</t>
  </si>
  <si>
    <t>AC</t>
  </si>
  <si>
    <t>AHBC 2</t>
  </si>
  <si>
    <t>AD</t>
  </si>
  <si>
    <t>AHBCM</t>
  </si>
  <si>
    <t>AE</t>
  </si>
  <si>
    <t>AHBS 2</t>
  </si>
  <si>
    <t>AF</t>
  </si>
  <si>
    <t>AHCV 2</t>
  </si>
  <si>
    <t>AG</t>
  </si>
  <si>
    <t>AMHP</t>
  </si>
  <si>
    <t>AH</t>
  </si>
  <si>
    <t>B12 2</t>
  </si>
  <si>
    <t>AI</t>
  </si>
  <si>
    <t>Ca125</t>
  </si>
  <si>
    <t>AJ</t>
  </si>
  <si>
    <t>Ca15.3</t>
  </si>
  <si>
    <t>AK</t>
  </si>
  <si>
    <t>Ca19.9</t>
  </si>
  <si>
    <t>AL</t>
  </si>
  <si>
    <t>CEA</t>
  </si>
  <si>
    <t>AM</t>
  </si>
  <si>
    <t>CORT 2</t>
  </si>
  <si>
    <t>AN</t>
  </si>
  <si>
    <t>CPEPTID</t>
  </si>
  <si>
    <t>AO</t>
  </si>
  <si>
    <t>Cyfra</t>
  </si>
  <si>
    <t>AP</t>
  </si>
  <si>
    <t>E2</t>
  </si>
  <si>
    <t>AQ</t>
  </si>
  <si>
    <t>FERR</t>
  </si>
  <si>
    <t>AR</t>
  </si>
  <si>
    <t>FOL</t>
  </si>
  <si>
    <t>AS</t>
  </si>
  <si>
    <t>FPSA</t>
  </si>
  <si>
    <t>AT</t>
  </si>
  <si>
    <t>FSH</t>
  </si>
  <si>
    <t>AU</t>
  </si>
  <si>
    <t>FT3</t>
  </si>
  <si>
    <t>AV</t>
  </si>
  <si>
    <t>FT4</t>
  </si>
  <si>
    <t>AW</t>
  </si>
  <si>
    <t>HBSAG 2</t>
  </si>
  <si>
    <t>AX</t>
  </si>
  <si>
    <t>HCG</t>
  </si>
  <si>
    <t>AY</t>
  </si>
  <si>
    <t>HIV DUO AG et AC</t>
  </si>
  <si>
    <t>AZ</t>
  </si>
  <si>
    <t>Insulin</t>
  </si>
  <si>
    <t>BA</t>
  </si>
  <si>
    <t>LH</t>
  </si>
  <si>
    <t>BB</t>
  </si>
  <si>
    <t>NSE</t>
  </si>
  <si>
    <t>BC</t>
  </si>
  <si>
    <t>PBNPST</t>
  </si>
  <si>
    <t>BD</t>
  </si>
  <si>
    <t>PCT</t>
  </si>
  <si>
    <t>BE</t>
  </si>
  <si>
    <t>PRL2</t>
  </si>
  <si>
    <t>BF</t>
  </si>
  <si>
    <t>PROG</t>
  </si>
  <si>
    <t>BG</t>
  </si>
  <si>
    <t>PTH</t>
  </si>
  <si>
    <t>BH</t>
  </si>
  <si>
    <t>TNTHSST</t>
  </si>
  <si>
    <t>BI</t>
  </si>
  <si>
    <t>TPSA</t>
  </si>
  <si>
    <t>BJ</t>
  </si>
  <si>
    <t>TSH</t>
  </si>
  <si>
    <t>BK</t>
  </si>
  <si>
    <t>VITDT 2</t>
  </si>
  <si>
    <t>Nettoyage aiguilles d'alimentation Procell / Clean Cell</t>
  </si>
  <si>
    <t>Lionel</t>
  </si>
  <si>
    <t>aide en ligne</t>
  </si>
  <si>
    <t xml:space="preserve">e801 - Nettoyage des aiguilles </t>
  </si>
  <si>
    <t>ISE - Rack de lavage quotidien</t>
  </si>
  <si>
    <t>ISE - Rack de lavage hebdo</t>
  </si>
  <si>
    <t>ISE - Nettoyage du circuit ISE</t>
  </si>
  <si>
    <t>e801- Nettoyage agitateur MicroParticules</t>
  </si>
  <si>
    <t>e801 - Nettoyage incubateur</t>
  </si>
  <si>
    <t>e801 - Nettoyage des agitateurs vortex et stations de séparation</t>
  </si>
  <si>
    <t xml:space="preserve">e801 - Nettoyage des aiguilles d’alimentation ProCell/CleanCell </t>
  </si>
  <si>
    <t>e801 - Remplacement des ProCell/CleanCell cups</t>
  </si>
  <si>
    <t>c503 - Nettoyage des aiguilles de lavage</t>
  </si>
  <si>
    <t>c503 - Nettoyage des aiguilles réactif</t>
  </si>
  <si>
    <t>c503 - Nettoyage des plaques de protection des cuves et des plaques de protection des agitateurs ultrasons</t>
  </si>
  <si>
    <t>e801 - Nettoyage des stations de rinçage et de lavage</t>
  </si>
  <si>
    <t>c503 - Nettoyage des stations de rinçage</t>
  </si>
  <si>
    <t>ISE - Nettoyage des stations de rinçage</t>
  </si>
  <si>
    <t xml:space="preserve">e801 - Nettoyage des tuyaux d'aspiration ProCell </t>
  </si>
  <si>
    <t>c503 - Exécution de la maintenance du système photométrique</t>
  </si>
  <si>
    <t>c503 - Nettoyage des filtres</t>
  </si>
  <si>
    <t xml:space="preserve">Core - Nettoyage du réservoir d'eau </t>
  </si>
  <si>
    <t>ISE - Vérification du godet de dilution</t>
  </si>
  <si>
    <t xml:space="preserve">Core - Vidange du piège à eau du dégazeur </t>
  </si>
  <si>
    <t>ISE - Lavage des circuits ISE</t>
  </si>
  <si>
    <t>BIMENSUELLE</t>
  </si>
  <si>
    <t>TRIMESTRIELLE</t>
  </si>
  <si>
    <t>CAL DE REFERENCE</t>
  </si>
  <si>
    <t>Guide de routine</t>
  </si>
  <si>
    <t>e801- Nettoyage aiguilles et canules</t>
  </si>
  <si>
    <t>ISE et c503 - Rack de lavage hebdomadaire</t>
  </si>
  <si>
    <t>c503 - Nettoyage aiguilles réactif</t>
  </si>
  <si>
    <t>c503 - Nettoyage canules de lavage</t>
  </si>
  <si>
    <t>c503 - Nettoyage couvercles des cuves réactionnelles et des mélangeurs ultra-son</t>
  </si>
  <si>
    <t>ISE - Nettoyage station de lavage</t>
  </si>
  <si>
    <t>c503 - Nettoyage station de lavage</t>
  </si>
  <si>
    <t>e801 - Nettoyage station de lavage</t>
  </si>
  <si>
    <t>e801 - Nettoyage tiges d'aspiration ProCell</t>
  </si>
  <si>
    <t>e801 - Nettoyage canules d'alimentation ProCell/CleanCell</t>
  </si>
  <si>
    <t>e801 - Remplacement cupules PC/CC</t>
  </si>
  <si>
    <t>e801 - Nettoyage vortex et station de séparation</t>
  </si>
  <si>
    <t>e801 - Vérification/Nettoyage incubateur</t>
  </si>
  <si>
    <t>e801 - Vérification/Nettoyage palette agitation</t>
  </si>
  <si>
    <t>Core - Nettoyage Bidon eau</t>
  </si>
  <si>
    <t>core - vidange piège eau du dégazeur</t>
  </si>
  <si>
    <t>c503 - maintenance photométrique</t>
  </si>
  <si>
    <t xml:space="preserve">e801 - Lavage des circuits de l’aiguille d’aspiration </t>
  </si>
  <si>
    <t>ISE - Nettoyage de l’orifice d’écoulement</t>
  </si>
  <si>
    <t>ISE - Nettoyage Sonic Wash</t>
  </si>
  <si>
    <t>c503 - Nettoyage Sonic Wash</t>
  </si>
  <si>
    <t>BIMESTRIELLE</t>
  </si>
  <si>
    <t>ISE - Remplacement électrodes Na, K, Cl</t>
  </si>
  <si>
    <t>SEMESTRIELLE</t>
  </si>
  <si>
    <t>ISE - Remplacement électrodes Ref</t>
  </si>
  <si>
    <t>MENSUELLE</t>
  </si>
  <si>
    <t>e801 - Nettoyage du filtre</t>
  </si>
  <si>
    <t>c503 - Vidange du réservoir de vide (si requis)</t>
  </si>
  <si>
    <t>e801- Contrôle / Nettoyage agitateur MicroParticules</t>
  </si>
  <si>
    <t>c503 - Nettoyage des aiguilles de lavage (Station)</t>
  </si>
  <si>
    <t xml:space="preserve">e801 - Nettoyage des tuyaux d'aspiration ProCell +amorcage réactif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</si>
</sst>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&quot;€&quot;* #,##0.00_);_(&quot;€&quot;* \(#,##0.00\);_(&quot;€&quot;* &quot;-&quot;??_);_(@_)"/>
    <numFmt numFmtId="165" formatCode="_(* #,##0.00_);_(* \(#,##0.00\);_(* &quot;-&quot;??_);_(@_)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inion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Helvetica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2"/>
      <name val="Minion"/>
      <family val="1"/>
    </font>
    <font>
      <sz val="12"/>
      <name val="Minion"/>
      <family val="1"/>
    </font>
    <font>
      <b/>
      <sz val="11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99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</borders>
  <cellStyleXfs count="90">
    <xf numFmtId="0" fontId="0" fillId="0" borderId="0"/>
    <xf numFmtId="0" fontId="1" fillId="0" borderId="0"/>
    <xf numFmtId="0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20" borderId="1" applyNumberFormat="0" applyAlignment="0" applyProtection="0"/>
    <xf numFmtId="0" fontId="7" fillId="0" borderId="2" applyNumberFormat="0" applyFill="0" applyAlignment="0" applyProtection="0"/>
    <xf numFmtId="0" fontId="8" fillId="21" borderId="3" applyNumberFormat="0" applyFont="0" applyAlignment="0" applyProtection="0"/>
    <xf numFmtId="0" fontId="9" fillId="7" borderId="1" applyNumberFormat="0" applyAlignment="0" applyProtection="0"/>
    <xf numFmtId="164" fontId="8" fillId="0" borderId="0" applyFont="0" applyFill="0" applyBorder="0" applyAlignment="0" applyProtection="0"/>
    <xf numFmtId="0" fontId="10" fillId="3" borderId="0" applyNumberFormat="0" applyBorder="0" applyAlignment="0" applyProtection="0"/>
    <xf numFmtId="165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1" fillId="22" borderId="0" applyNumberFormat="0" applyBorder="0" applyAlignment="0" applyProtection="0"/>
    <xf numFmtId="0" fontId="8" fillId="0" borderId="0"/>
    <xf numFmtId="0" fontId="1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20" borderId="4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8" applyNumberFormat="0" applyFill="0" applyAlignment="0" applyProtection="0"/>
    <xf numFmtId="0" fontId="21" fillId="23" borderId="9" applyNumberFormat="0" applyAlignment="0" applyProtection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22" fillId="0" borderId="0" xfId="1" applyFont="1" applyFill="1" applyAlignment="1" applyProtection="1">
      <alignment horizontal="center" vertical="center"/>
    </xf>
    <xf numFmtId="0" fontId="22" fillId="0" borderId="0" xfId="2" applyFont="1" applyFill="1" applyAlignment="1" applyProtection="1">
      <alignment horizontal="center" vertical="center"/>
    </xf>
    <xf numFmtId="0" fontId="22" fillId="0" borderId="0" xfId="0" applyFont="1" applyFill="1" applyAlignment="1" applyProtection="1">
      <alignment horizontal="center" vertical="center"/>
    </xf>
    <xf numFmtId="0" fontId="22" fillId="0" borderId="0" xfId="1" applyFont="1" applyFill="1" applyAlignment="1" applyProtection="1">
      <alignment horizontal="left" vertical="center"/>
    </xf>
    <xf numFmtId="0" fontId="22" fillId="0" borderId="0" xfId="0" applyFont="1" applyFill="1" applyAlignment="1" applyProtection="1">
      <alignment horizontal="left" vertical="center"/>
    </xf>
    <xf numFmtId="0" fontId="22" fillId="0" borderId="0" xfId="2" applyFont="1" applyFill="1" applyAlignment="1" applyProtection="1">
      <alignment horizontal="left" vertical="center"/>
    </xf>
    <xf numFmtId="0" fontId="23" fillId="0" borderId="0" xfId="1" applyFont="1" applyFill="1" applyAlignment="1" applyProtection="1">
      <alignment horizontal="center" vertical="center"/>
    </xf>
    <xf numFmtId="0" fontId="23" fillId="0" borderId="0" xfId="1" applyFont="1" applyFill="1" applyAlignment="1" applyProtection="1">
      <alignment horizontal="left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2" fillId="0" borderId="0" xfId="0" applyFont="1" applyFill="1" applyAlignment="1">
      <alignment vertical="center"/>
    </xf>
    <xf numFmtId="0" fontId="22" fillId="0" borderId="0" xfId="2" applyFont="1" applyFill="1" applyAlignment="1" applyProtection="1">
      <alignment vertical="center"/>
    </xf>
    <xf numFmtId="0" fontId="22" fillId="0" borderId="0" xfId="1" applyFont="1" applyFill="1" applyAlignment="1" applyProtection="1">
      <alignment vertical="center"/>
    </xf>
    <xf numFmtId="0" fontId="22" fillId="0" borderId="0" xfId="0" applyFont="1" applyFill="1" applyAlignment="1" applyProtection="1">
      <alignment vertical="center"/>
    </xf>
    <xf numFmtId="0" fontId="23" fillId="0" borderId="0" xfId="1" applyFont="1" applyFill="1" applyAlignment="1" applyProtection="1">
      <alignment vertical="center"/>
    </xf>
    <xf numFmtId="0" fontId="0" fillId="0" borderId="10" xfId="0" applyFont="1" applyBorder="1" applyAlignment="1">
      <alignment horizontal="center"/>
    </xf>
    <xf numFmtId="0" fontId="0" fillId="24" borderId="0" xfId="0" applyFill="1"/>
    <xf numFmtId="0" fontId="0" fillId="25" borderId="0" xfId="0" applyFill="1"/>
    <xf numFmtId="0" fontId="0" fillId="0" borderId="11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/>
    <xf numFmtId="0" fontId="0" fillId="0" borderId="0" xfId="0" applyBorder="1" applyAlignment="1"/>
    <xf numFmtId="0" fontId="0" fillId="26" borderId="10" xfId="0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/>
    <xf numFmtId="0" fontId="0" fillId="27" borderId="10" xfId="0" applyFont="1" applyFill="1" applyBorder="1" applyAlignment="1">
      <alignment horizontal="center"/>
    </xf>
    <xf numFmtId="0" fontId="0" fillId="27" borderId="0" xfId="0" applyFill="1" applyAlignment="1">
      <alignment horizontal="center"/>
    </xf>
    <xf numFmtId="0" fontId="0" fillId="27" borderId="0" xfId="0" applyFill="1" applyAlignment="1"/>
    <xf numFmtId="0" fontId="0" fillId="28" borderId="10" xfId="0" applyFont="1" applyFill="1" applyBorder="1" applyAlignment="1">
      <alignment horizontal="center"/>
    </xf>
    <xf numFmtId="0" fontId="0" fillId="28" borderId="0" xfId="0" applyFill="1" applyAlignment="1">
      <alignment horizontal="center"/>
    </xf>
    <xf numFmtId="0" fontId="0" fillId="28" borderId="0" xfId="0" applyFill="1" applyAlignment="1"/>
    <xf numFmtId="0" fontId="0" fillId="29" borderId="10" xfId="0" applyFont="1" applyFill="1" applyBorder="1" applyAlignment="1">
      <alignment horizontal="center"/>
    </xf>
    <xf numFmtId="0" fontId="0" fillId="29" borderId="0" xfId="0" applyFill="1" applyAlignment="1">
      <alignment horizontal="center"/>
    </xf>
    <xf numFmtId="0" fontId="0" fillId="29" borderId="0" xfId="0" applyFill="1" applyAlignment="1"/>
    <xf numFmtId="0" fontId="0" fillId="30" borderId="10" xfId="0" applyFont="1" applyFill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 applyAlignment="1"/>
  </cellXfs>
  <cellStyles count="90">
    <cellStyle name="20 % - Accent1 2" xfId="3"/>
    <cellStyle name="20 % - Accent1 3" xfId="4"/>
    <cellStyle name="20 % - Accent2 2" xfId="5"/>
    <cellStyle name="20 % - Accent2 3" xfId="6"/>
    <cellStyle name="20 % - Accent3 2" xfId="7"/>
    <cellStyle name="20 % - Accent3 3" xfId="8"/>
    <cellStyle name="20 % - Accent4 2" xfId="9"/>
    <cellStyle name="20 % - Accent4 3" xfId="10"/>
    <cellStyle name="20 % - Accent5 2" xfId="11"/>
    <cellStyle name="20 % - Accent5 3" xfId="12"/>
    <cellStyle name="20 % - Accent6 2" xfId="13"/>
    <cellStyle name="20 % - Accent6 3" xfId="14"/>
    <cellStyle name="40 % - Accent1 2" xfId="15"/>
    <cellStyle name="40 % - Accent1 3" xfId="16"/>
    <cellStyle name="40 % - Accent2 2" xfId="17"/>
    <cellStyle name="40 % - Accent2 3" xfId="18"/>
    <cellStyle name="40 % - Accent3 2" xfId="19"/>
    <cellStyle name="40 % - Accent3 3" xfId="20"/>
    <cellStyle name="40 % - Accent4 2" xfId="21"/>
    <cellStyle name="40 % - Accent4 3" xfId="22"/>
    <cellStyle name="40 % - Accent5 2" xfId="23"/>
    <cellStyle name="40 % - Accent5 3" xfId="24"/>
    <cellStyle name="40 % - Accent6 2" xfId="25"/>
    <cellStyle name="40 % - Accent6 3" xfId="26"/>
    <cellStyle name="60 % - Accent1 2" xfId="27"/>
    <cellStyle name="60 % - Accent2 2" xfId="28"/>
    <cellStyle name="60 % - Accent3 2" xfId="29"/>
    <cellStyle name="60 % - Accent4 2" xfId="30"/>
    <cellStyle name="60 % - Accent5 2" xfId="31"/>
    <cellStyle name="60 % - Accent6 2" xfId="32"/>
    <cellStyle name="Accent1 2" xfId="33"/>
    <cellStyle name="Accent2 2" xfId="34"/>
    <cellStyle name="Accent3 2" xfId="35"/>
    <cellStyle name="Accent4 2" xfId="36"/>
    <cellStyle name="Accent5 2" xfId="37"/>
    <cellStyle name="Accent6 2" xfId="38"/>
    <cellStyle name="Avertissement 2" xfId="39"/>
    <cellStyle name="Calcul 2" xfId="40"/>
    <cellStyle name="Cellule liée 2" xfId="41"/>
    <cellStyle name="Commentaire 2" xfId="42"/>
    <cellStyle name="Entrée 2" xfId="43"/>
    <cellStyle name="Euro" xfId="44"/>
    <cellStyle name="Insatisfaisant 2" xfId="45"/>
    <cellStyle name="Milliers 2" xfId="46"/>
    <cellStyle name="Monétaire 2" xfId="47"/>
    <cellStyle name="Neutre 2" xfId="48"/>
    <cellStyle name="Normal" xfId="0" builtinId="0"/>
    <cellStyle name="Normal 10" xfId="49"/>
    <cellStyle name="Normal 11" xfId="1"/>
    <cellStyle name="Normal 11 2" xfId="50"/>
    <cellStyle name="Normal 2" xfId="2"/>
    <cellStyle name="Normal 2 10" xfId="51"/>
    <cellStyle name="Normal 2 2" xfId="52"/>
    <cellStyle name="Normal 2 2 2" xfId="53"/>
    <cellStyle name="Normal 2 2_Synthese_Pre_post_Ana_Chimie_Immuno_Nov_2014(1)" xfId="54"/>
    <cellStyle name="Normal 2 3" xfId="55"/>
    <cellStyle name="Normal 2 3 2" xfId="56"/>
    <cellStyle name="Normal 2 4" xfId="57"/>
    <cellStyle name="Normal 2 5" xfId="58"/>
    <cellStyle name="Normal 2 6" xfId="59"/>
    <cellStyle name="Normal 2 7" xfId="60"/>
    <cellStyle name="Normal 2 8" xfId="61"/>
    <cellStyle name="Normal 2 9" xfId="62"/>
    <cellStyle name="Normal 2_!201503 23 Synthese analyses COBAS C6000" xfId="63"/>
    <cellStyle name="Normal 3" xfId="64"/>
    <cellStyle name="Normal 3 2" xfId="65"/>
    <cellStyle name="Normal 4" xfId="66"/>
    <cellStyle name="Normal 4 2" xfId="67"/>
    <cellStyle name="Normal 5" xfId="68"/>
    <cellStyle name="Normal 5 2" xfId="69"/>
    <cellStyle name="Normal 5 3" xfId="70"/>
    <cellStyle name="Normal 6" xfId="71"/>
    <cellStyle name="Normal 6 2" xfId="72"/>
    <cellStyle name="Normal 7" xfId="73"/>
    <cellStyle name="Normal 7 2" xfId="74"/>
    <cellStyle name="Normal 8" xfId="75"/>
    <cellStyle name="Normal 8 2" xfId="76"/>
    <cellStyle name="Normal 9" xfId="77"/>
    <cellStyle name="Pourcentage 2" xfId="78"/>
    <cellStyle name="Pourcentage 2 2" xfId="79"/>
    <cellStyle name="Satisfaisant 2" xfId="80"/>
    <cellStyle name="Sortie 2" xfId="81"/>
    <cellStyle name="Texte explicatif 2" xfId="82"/>
    <cellStyle name="Titre 2" xfId="83"/>
    <cellStyle name="Titre 1 2" xfId="84"/>
    <cellStyle name="Titre 2 2" xfId="85"/>
    <cellStyle name="Titre 3 2" xfId="86"/>
    <cellStyle name="Titre 4 2" xfId="87"/>
    <cellStyle name="Total 2" xfId="88"/>
    <cellStyle name="Vérification 2" xfId="89"/>
  </cellStyles>
  <dxfs count="5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nio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9999"/>
      <color rgb="FF00BCB8"/>
      <color rgb="FF50B06B"/>
      <color rgb="FFEA59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409576</xdr:colOff>
      <xdr:row>1</xdr:row>
      <xdr:rowOff>133350</xdr:rowOff>
    </xdr:from>
    <xdr:to>
      <xdr:col>10</xdr:col>
      <xdr:colOff>894716</xdr:colOff>
      <xdr:row>7</xdr:row>
      <xdr:rowOff>161290</xdr:rowOff>
    </xdr:to>
    <xdr:pic macro="[0]!MPL_planning">
      <xdr:nvPicPr>
        <xdr:cNvPr id="2" name="Image 1" descr="RÃ©sultat de recherche d'images pour &quot;roche mpl evo2&quot;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80576" y="387350"/>
          <a:ext cx="2237740" cy="1247140"/>
        </a:xfrm>
        <a:prstGeom prst="rect">
          <a:avLst/>
        </a:prstGeom>
        <a:noFill/>
        <a:effectLst>
          <a:softEdge rad="927100"/>
        </a:effectLst>
        <a:scene3d>
          <a:camera prst="perspectiveContrastingLeftFacing"/>
          <a:lightRig rig="threePt" dir="t"/>
        </a:scene3d>
        <a:sp3d contourW="63500" prstMaterial="flat">
          <a:bevelT prst="relaxedInset"/>
          <a:contourClr>
            <a:schemeClr val="accent3">
              <a:lumMod val="75000"/>
            </a:schemeClr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330200</xdr:colOff>
      <xdr:row>1</xdr:row>
      <xdr:rowOff>110067</xdr:rowOff>
    </xdr:from>
    <xdr:to>
      <xdr:col>10</xdr:col>
      <xdr:colOff>225425</xdr:colOff>
      <xdr:row>6</xdr:row>
      <xdr:rowOff>93557</xdr:rowOff>
    </xdr:to>
    <xdr:pic macro="[0]!MPL_planning">
      <xdr:nvPicPr>
        <xdr:cNvPr id="2" name="Image 1" descr="RÃ©sultat de recherche d'images pour &quot;roche mpl evo2&quot;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83160" y="361527"/>
          <a:ext cx="2249805" cy="1240790"/>
        </a:xfrm>
        <a:prstGeom prst="rect">
          <a:avLst/>
        </a:prstGeom>
        <a:noFill/>
        <a:ln>
          <a:solidFill>
            <a:schemeClr val="accent2">
              <a:lumMod val="60000"/>
              <a:lumOff val="40000"/>
            </a:schemeClr>
          </a:solidFill>
        </a:ln>
        <a:effectLst>
          <a:softEdge rad="927100"/>
        </a:effectLst>
        <a:scene3d>
          <a:camera prst="perspectiveContrastingLeftFacing"/>
          <a:lightRig rig="threePt" dir="t"/>
        </a:scene3d>
        <a:sp3d contourW="63500" prstMaterial="flat">
          <a:bevelT prst="relaxedInset"/>
          <a:contourClr>
            <a:schemeClr val="tx2">
              <a:lumMod val="60000"/>
              <a:lumOff val="40000"/>
            </a:schemeClr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206375</xdr:colOff>
      <xdr:row>0</xdr:row>
      <xdr:rowOff>141817</xdr:rowOff>
    </xdr:from>
    <xdr:to>
      <xdr:col>10</xdr:col>
      <xdr:colOff>691515</xdr:colOff>
      <xdr:row>6</xdr:row>
      <xdr:rowOff>118957</xdr:rowOff>
    </xdr:to>
    <xdr:pic macro="[0]!MPL_planning">
      <xdr:nvPicPr>
        <xdr:cNvPr id="2" name="Image 1" descr="RÃ©sultat de recherche d'images pour &quot;roche mpl evo2&quot;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7375" y="141817"/>
          <a:ext cx="2237740" cy="1247140"/>
        </a:xfrm>
        <a:prstGeom prst="rect">
          <a:avLst/>
        </a:prstGeom>
        <a:noFill/>
        <a:effectLst>
          <a:softEdge rad="927100"/>
        </a:effectLst>
        <a:scene3d>
          <a:camera prst="perspectiveContrastingLeftFacing"/>
          <a:lightRig rig="threePt" dir="t"/>
        </a:scene3d>
        <a:sp3d contourW="63500" prstMaterial="flat">
          <a:bevelT prst="relaxedInset"/>
          <a:contourClr>
            <a:schemeClr val="accent3">
              <a:lumMod val="75000"/>
            </a:schemeClr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330200</xdr:colOff>
      <xdr:row>1</xdr:row>
      <xdr:rowOff>110067</xdr:rowOff>
    </xdr:from>
    <xdr:to>
      <xdr:col>10</xdr:col>
      <xdr:colOff>225425</xdr:colOff>
      <xdr:row>6</xdr:row>
      <xdr:rowOff>93557</xdr:rowOff>
    </xdr:to>
    <xdr:pic macro="[0]!MPL_planning">
      <xdr:nvPicPr>
        <xdr:cNvPr id="3" name="Image 2" descr="RÃ©sultat de recherche d'images pour &quot;roche mpl evo2&quot;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81467" y="364067"/>
          <a:ext cx="2257425" cy="1253490"/>
        </a:xfrm>
        <a:prstGeom prst="rect">
          <a:avLst/>
        </a:prstGeom>
        <a:noFill/>
        <a:ln>
          <a:solidFill>
            <a:schemeClr val="accent2">
              <a:lumMod val="60000"/>
              <a:lumOff val="40000"/>
            </a:schemeClr>
          </a:solidFill>
        </a:ln>
        <a:effectLst>
          <a:softEdge rad="927100"/>
        </a:effectLst>
        <a:scene3d>
          <a:camera prst="perspectiveContrastingLeftFacing"/>
          <a:lightRig rig="threePt" dir="t"/>
        </a:scene3d>
        <a:sp3d contourW="63500" prstMaterial="flat">
          <a:bevelT prst="relaxedInset"/>
          <a:contourClr>
            <a:schemeClr val="tx2">
              <a:lumMod val="60000"/>
              <a:lumOff val="40000"/>
            </a:schemeClr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1158240</xdr:colOff>
      <xdr:row>1</xdr:row>
      <xdr:rowOff>114300</xdr:rowOff>
    </xdr:from>
    <xdr:to>
      <xdr:col>9</xdr:col>
      <xdr:colOff>662940</xdr:colOff>
      <xdr:row>6</xdr:row>
      <xdr:rowOff>129540</xdr:rowOff>
    </xdr:to>
    <xdr:pic macro="[0]!MPL_planning">
      <xdr:nvPicPr>
        <xdr:cNvPr id="4" name="Image 3" descr="RÃ©sultat de recherche d'images pour &quot;roche mpl evo2&quot;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5180" y="365760"/>
          <a:ext cx="2263140" cy="1272540"/>
        </a:xfrm>
        <a:prstGeom prst="rect">
          <a:avLst/>
        </a:prstGeom>
        <a:noFill/>
        <a:ln>
          <a:solidFill>
            <a:schemeClr val="accent2">
              <a:lumMod val="60000"/>
              <a:lumOff val="40000"/>
            </a:schemeClr>
          </a:solidFill>
        </a:ln>
        <a:effectLst>
          <a:softEdge rad="927100"/>
        </a:effectLst>
        <a:scene3d>
          <a:camera prst="perspectiveContrastingLeftFacing"/>
          <a:lightRig rig="threePt" dir="t"/>
        </a:scene3d>
        <a:sp3d contourW="63500" prstMaterial="flat">
          <a:bevelT prst="relaxedInset"/>
          <a:contourClr>
            <a:schemeClr val="accent6">
              <a:lumMod val="75000"/>
            </a:schemeClr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257175</xdr:colOff>
      <xdr:row>0</xdr:row>
      <xdr:rowOff>209550</xdr:rowOff>
    </xdr:from>
    <xdr:to>
      <xdr:col>12</xdr:col>
      <xdr:colOff>158115</xdr:colOff>
      <xdr:row>6</xdr:row>
      <xdr:rowOff>186690</xdr:rowOff>
    </xdr:to>
    <xdr:pic macro="[0]!MPL_planning">
      <xdr:nvPicPr>
        <xdr:cNvPr id="3" name="Image 2" descr="RÃ©sultat de recherche d'images pour &quot;roche mpl evo2&quot;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209550"/>
          <a:ext cx="2263140" cy="1272540"/>
        </a:xfrm>
        <a:prstGeom prst="rect">
          <a:avLst/>
        </a:prstGeom>
        <a:noFill/>
        <a:effectLst>
          <a:softEdge rad="927100"/>
        </a:effectLst>
        <a:scene3d>
          <a:camera prst="perspectiveContrastingLeftFacing"/>
          <a:lightRig rig="threePt" dir="t"/>
        </a:scene3d>
        <a:sp3d contourW="63500" prstMaterial="flat">
          <a:bevelT prst="relaxedInset"/>
          <a:contourClr>
            <a:schemeClr val="accent3">
              <a:lumMod val="75000"/>
            </a:schemeClr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26126</xdr:colOff>
      <xdr:row>4</xdr:row>
      <xdr:rowOff>5952</xdr:rowOff>
    </xdr:from>
    <xdr:to>
      <xdr:col>9</xdr:col>
      <xdr:colOff>254968</xdr:colOff>
      <xdr:row>5</xdr:row>
      <xdr:rowOff>25259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783" y="1301352"/>
          <a:ext cx="6586099" cy="20436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Tableau447" displayName="Tableau447" ref="A1:G67" totalsRowShown="0" headerRowDxfId="53" dataDxfId="52">
  <autoFilter ref="A1:G67"/>
  <sortState ref="A2:G67">
    <sortCondition ref="B1:B67"/>
  </sortState>
  <tableColumns count="7">
    <tableColumn id="1" name="Automate" dataDxfId="51"/>
    <tableColumn id="2" name="N° Catégorie" dataDxfId="50"/>
    <tableColumn id="3" name="Catégorie" dataDxfId="49"/>
    <tableColumn id="4" name="Ordre" dataDxfId="48"/>
    <tableColumn id="5" name="Actions" dataDxfId="47"/>
    <tableColumn id="6" name="Type action" dataDxfId="46"/>
    <tableColumn id="7" name="Fréquence" dataDxfId="4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5" name="Tableau16" displayName="Tableau16" ref="A1:G33" totalsRowShown="0" headerRowDxfId="44" dataDxfId="43" dataCellStyle="Normal 11">
  <autoFilter ref="A1:G33"/>
  <sortState ref="A2:G33">
    <sortCondition ref="B1:B33"/>
  </sortState>
  <tableColumns count="7">
    <tableColumn id="1" name="Automate" dataDxfId="42" dataCellStyle="Normal 11"/>
    <tableColumn id="2" name="N° Catégorie" dataDxfId="41" dataCellStyle="Normal 11"/>
    <tableColumn id="3" name="Catégorie" dataDxfId="40" dataCellStyle="Normal 11"/>
    <tableColumn id="4" name="Ordre" dataDxfId="39" dataCellStyle="Normal 11"/>
    <tableColumn id="5" name="Actions" dataDxfId="38" dataCellStyle="Normal 11"/>
    <tableColumn id="6" name="Type action" dataDxfId="37" dataCellStyle="Normal 11"/>
    <tableColumn id="7" name="Fréquence" dataDxfId="36" dataCellStyle="Normal 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au44" displayName="Tableau44" ref="A1:G29" totalsRowShown="0" headerRowDxfId="35" dataDxfId="34">
  <autoFilter ref="A1:G29"/>
  <sortState ref="A2:G67">
    <sortCondition ref="B1:B67"/>
  </sortState>
  <tableColumns count="7">
    <tableColumn id="1" name="Automate" dataDxfId="33"/>
    <tableColumn id="2" name="N° Catégorie" dataDxfId="32"/>
    <tableColumn id="3" name="Catégorie" dataDxfId="31"/>
    <tableColumn id="4" name="Ordre" dataDxfId="30"/>
    <tableColumn id="5" name="Actions" dataDxfId="29"/>
    <tableColumn id="6" name="Type action" dataDxfId="28"/>
    <tableColumn id="7" name="Fréquence" dataDxfId="2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1" name="Tableau1" displayName="Tableau1" ref="A1:G46" totalsRowShown="0" headerRowDxfId="26" dataDxfId="25" dataCellStyle="Normal 11">
  <autoFilter ref="A1:G46"/>
  <sortState ref="A2:G46">
    <sortCondition ref="B1:B46"/>
  </sortState>
  <tableColumns count="7">
    <tableColumn id="1" name="Automate" dataDxfId="24" dataCellStyle="Normal 11"/>
    <tableColumn id="2" name="N° Catégorie" dataDxfId="23" dataCellStyle="Normal 11"/>
    <tableColumn id="3" name="Catégorie" dataDxfId="22" dataCellStyle="Normal 11"/>
    <tableColumn id="4" name="Ordre" dataDxfId="21" dataCellStyle="Normal 11"/>
    <tableColumn id="5" name="Actions" dataDxfId="20" dataCellStyle="Normal 11"/>
    <tableColumn id="6" name="Type action" dataDxfId="19" dataCellStyle="Normal 11"/>
    <tableColumn id="7" name="Fréquence" dataDxfId="18" dataCellStyle="Normal 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eau2" displayName="Tableau2" ref="A1:G44" totalsRowShown="0" headerRowDxfId="17" dataDxfId="16" dataCellStyle="Normal 11">
  <autoFilter ref="A1:G44"/>
  <sortState ref="A2:G44">
    <sortCondition ref="B1:B44"/>
  </sortState>
  <tableColumns count="7">
    <tableColumn id="1" name="Automate" dataDxfId="15"/>
    <tableColumn id="2" name="N° Catégorie" dataDxfId="14" dataCellStyle="Normal 11"/>
    <tableColumn id="3" name="Catégorie" dataDxfId="13" dataCellStyle="Normal 11"/>
    <tableColumn id="4" name="Ordre" dataDxfId="12" dataCellStyle="Normal 11"/>
    <tableColumn id="5" name="Actions" dataDxfId="11" dataCellStyle="Normal 11"/>
    <tableColumn id="6" name="Type action" dataDxfId="10" dataCellStyle="Normal 11"/>
    <tableColumn id="7" name="Fréquence" dataDxfId="9" dataCellStyle="Normal 11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4" name="Tableau4" displayName="Tableau4" ref="A1:G33" totalsRowShown="0" headerRowDxfId="8" dataDxfId="7">
  <autoFilter ref="A1:G33"/>
  <sortState ref="A2:G33">
    <sortCondition ref="B1:B33"/>
  </sortState>
  <tableColumns count="7">
    <tableColumn id="1" name="Automate" dataDxfId="6"/>
    <tableColumn id="2" name="N° Catégorie" dataDxfId="5"/>
    <tableColumn id="3" name="Catégorie" dataDxfId="4"/>
    <tableColumn id="4" name="Ordre" dataDxfId="3"/>
    <tableColumn id="5" name="Actions" dataDxfId="2"/>
    <tableColumn id="6" name="Type action" dataDxfId="1"/>
    <tableColumn id="7" name="Fréquence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G134"/>
  <sheetViews>
    <sheetView tabSelected="1" zoomScale="90" zoomScaleNormal="80" workbookViewId="0">
      <selection activeCell="F31" sqref="F31"/>
    </sheetView>
  </sheetViews>
  <sheetFormatPr baseColWidth="10" defaultRowHeight="16.5" customHeight="1" x14ac:dyDescent="0.3"/>
  <cols>
    <col min="1" max="1" width="12.33203125" style="1" bestFit="1" customWidth="1"/>
    <col min="2" max="2" width="14.5546875" style="1" bestFit="1" customWidth="1"/>
    <col min="3" max="3" width="13.109375" style="1" customWidth="1"/>
    <col min="4" max="4" width="11.21875" style="1" customWidth="1"/>
    <col min="5" max="5" width="57.5546875" style="25" customWidth="1"/>
    <col min="6" max="6" width="13.5546875" style="1" bestFit="1" customWidth="1"/>
    <col min="7" max="7" width="12.88671875" style="1" bestFit="1" customWidth="1"/>
    <col min="8" max="10" width="8.5546875" customWidth="1"/>
    <col min="11" max="11" width="17.109375" customWidth="1"/>
  </cols>
  <sheetData>
    <row r="1" spans="1:7" ht="20.25" customHeight="1" x14ac:dyDescent="0.3">
      <c r="A1" s="1" t="s">
        <v>134</v>
      </c>
      <c r="B1" s="1" t="s">
        <v>140</v>
      </c>
      <c r="C1" s="1" t="s">
        <v>135</v>
      </c>
      <c r="D1" s="1" t="s">
        <v>136</v>
      </c>
      <c r="E1" s="25" t="s">
        <v>137</v>
      </c>
      <c r="F1" s="1" t="s">
        <v>138</v>
      </c>
      <c r="G1" s="1" t="s">
        <v>139</v>
      </c>
    </row>
    <row r="2" spans="1:7" ht="16.5" customHeight="1" x14ac:dyDescent="0.3">
      <c r="A2" s="33" t="s">
        <v>178</v>
      </c>
      <c r="B2" s="34">
        <v>1</v>
      </c>
      <c r="C2" s="34" t="s">
        <v>179</v>
      </c>
      <c r="D2" s="34" t="s">
        <v>68</v>
      </c>
      <c r="E2" s="35" t="s">
        <v>278</v>
      </c>
      <c r="F2" s="34" t="s">
        <v>70</v>
      </c>
      <c r="G2" s="34">
        <v>1</v>
      </c>
    </row>
    <row r="3" spans="1:7" ht="16.5" customHeight="1" x14ac:dyDescent="0.3">
      <c r="A3" s="33" t="s">
        <v>178</v>
      </c>
      <c r="B3" s="34">
        <v>1</v>
      </c>
      <c r="C3" s="34" t="s">
        <v>179</v>
      </c>
      <c r="D3" s="34" t="s">
        <v>66</v>
      </c>
      <c r="E3" s="35" t="s">
        <v>279</v>
      </c>
      <c r="F3" s="34" t="s">
        <v>70</v>
      </c>
      <c r="G3" s="34">
        <v>1</v>
      </c>
    </row>
    <row r="4" spans="1:7" ht="16.5" customHeight="1" x14ac:dyDescent="0.3">
      <c r="A4" s="36" t="s">
        <v>178</v>
      </c>
      <c r="B4" s="37">
        <v>2</v>
      </c>
      <c r="C4" s="37" t="s">
        <v>182</v>
      </c>
      <c r="D4" s="37" t="s">
        <v>69</v>
      </c>
      <c r="E4" s="38" t="s">
        <v>331</v>
      </c>
      <c r="F4" s="37" t="s">
        <v>69</v>
      </c>
      <c r="G4" s="37">
        <v>7</v>
      </c>
    </row>
    <row r="5" spans="1:7" ht="16.5" customHeight="1" x14ac:dyDescent="0.3">
      <c r="A5" s="36" t="s">
        <v>178</v>
      </c>
      <c r="B5" s="37">
        <v>2</v>
      </c>
      <c r="C5" s="37" t="s">
        <v>182</v>
      </c>
      <c r="D5" s="37" t="s">
        <v>66</v>
      </c>
      <c r="E5" s="38" t="s">
        <v>322</v>
      </c>
      <c r="F5" s="37" t="s">
        <v>67</v>
      </c>
      <c r="G5" s="37">
        <v>7</v>
      </c>
    </row>
    <row r="6" spans="1:7" ht="16.5" customHeight="1" x14ac:dyDescent="0.3">
      <c r="A6" s="36" t="s">
        <v>178</v>
      </c>
      <c r="B6" s="37">
        <v>2</v>
      </c>
      <c r="C6" s="37" t="s">
        <v>182</v>
      </c>
      <c r="D6" s="37" t="s">
        <v>68</v>
      </c>
      <c r="E6" s="38" t="s">
        <v>305</v>
      </c>
      <c r="F6" s="37" t="s">
        <v>70</v>
      </c>
      <c r="G6" s="37">
        <v>7</v>
      </c>
    </row>
    <row r="7" spans="1:7" ht="16.5" customHeight="1" x14ac:dyDescent="0.3">
      <c r="A7" s="39" t="s">
        <v>178</v>
      </c>
      <c r="B7" s="40">
        <v>3</v>
      </c>
      <c r="C7" s="40" t="s">
        <v>300</v>
      </c>
      <c r="D7" s="40" t="s">
        <v>66</v>
      </c>
      <c r="E7" s="41" t="s">
        <v>333</v>
      </c>
      <c r="F7" s="40" t="s">
        <v>70</v>
      </c>
      <c r="G7" s="40">
        <v>14</v>
      </c>
    </row>
    <row r="8" spans="1:7" ht="16.5" customHeight="1" x14ac:dyDescent="0.3">
      <c r="A8" s="39" t="s">
        <v>178</v>
      </c>
      <c r="B8" s="40">
        <v>3</v>
      </c>
      <c r="C8" s="40" t="s">
        <v>300</v>
      </c>
      <c r="D8" s="40" t="s">
        <v>68</v>
      </c>
      <c r="E8" s="41" t="s">
        <v>288</v>
      </c>
      <c r="F8" s="40" t="s">
        <v>70</v>
      </c>
      <c r="G8" s="40">
        <v>14</v>
      </c>
    </row>
    <row r="9" spans="1:7" ht="16.5" customHeight="1" x14ac:dyDescent="0.3">
      <c r="A9" s="39" t="s">
        <v>178</v>
      </c>
      <c r="B9" s="40">
        <v>3</v>
      </c>
      <c r="C9" s="40" t="s">
        <v>300</v>
      </c>
      <c r="D9" s="40" t="s">
        <v>69</v>
      </c>
      <c r="E9" s="41" t="s">
        <v>289</v>
      </c>
      <c r="F9" s="40" t="s">
        <v>70</v>
      </c>
      <c r="G9" s="40">
        <v>14</v>
      </c>
    </row>
    <row r="10" spans="1:7" ht="16.5" customHeight="1" x14ac:dyDescent="0.3">
      <c r="A10" s="39" t="s">
        <v>178</v>
      </c>
      <c r="B10" s="40">
        <v>3</v>
      </c>
      <c r="C10" s="40" t="s">
        <v>300</v>
      </c>
      <c r="D10" s="40" t="s">
        <v>70</v>
      </c>
      <c r="E10" s="41" t="s">
        <v>291</v>
      </c>
      <c r="F10" s="40" t="s">
        <v>69</v>
      </c>
      <c r="G10" s="40">
        <v>14</v>
      </c>
    </row>
    <row r="11" spans="1:7" ht="16.5" customHeight="1" x14ac:dyDescent="0.3">
      <c r="A11" s="39" t="s">
        <v>178</v>
      </c>
      <c r="B11" s="40">
        <v>3</v>
      </c>
      <c r="C11" s="40" t="s">
        <v>300</v>
      </c>
      <c r="D11" s="40" t="s">
        <v>2</v>
      </c>
      <c r="E11" s="41" t="s">
        <v>284</v>
      </c>
      <c r="F11" s="40" t="s">
        <v>70</v>
      </c>
      <c r="G11" s="40">
        <v>14</v>
      </c>
    </row>
    <row r="12" spans="1:7" ht="16.5" customHeight="1" x14ac:dyDescent="0.3">
      <c r="A12" s="39" t="s">
        <v>178</v>
      </c>
      <c r="B12" s="40">
        <v>3</v>
      </c>
      <c r="C12" s="40" t="s">
        <v>300</v>
      </c>
      <c r="D12" s="40" t="s">
        <v>73</v>
      </c>
      <c r="E12" s="41" t="s">
        <v>285</v>
      </c>
      <c r="F12" s="40" t="s">
        <v>70</v>
      </c>
      <c r="G12" s="40">
        <v>14</v>
      </c>
    </row>
    <row r="13" spans="1:7" ht="16.5" customHeight="1" x14ac:dyDescent="0.3">
      <c r="A13" s="39" t="s">
        <v>178</v>
      </c>
      <c r="B13" s="40">
        <v>3</v>
      </c>
      <c r="C13" s="40" t="s">
        <v>300</v>
      </c>
      <c r="D13" s="40" t="s">
        <v>71</v>
      </c>
      <c r="E13" s="41" t="s">
        <v>290</v>
      </c>
      <c r="F13" s="40" t="s">
        <v>70</v>
      </c>
      <c r="G13" s="40">
        <v>14</v>
      </c>
    </row>
    <row r="14" spans="1:7" ht="16.5" customHeight="1" x14ac:dyDescent="0.3">
      <c r="A14" s="39" t="s">
        <v>178</v>
      </c>
      <c r="B14" s="40">
        <v>3</v>
      </c>
      <c r="C14" s="40" t="s">
        <v>300</v>
      </c>
      <c r="D14" s="40" t="s">
        <v>72</v>
      </c>
      <c r="E14" s="41" t="s">
        <v>334</v>
      </c>
      <c r="F14" s="40" t="s">
        <v>70</v>
      </c>
      <c r="G14" s="40">
        <v>14</v>
      </c>
    </row>
    <row r="15" spans="1:7" ht="16.5" customHeight="1" x14ac:dyDescent="0.3">
      <c r="A15" s="39" t="s">
        <v>178</v>
      </c>
      <c r="B15" s="40">
        <v>3</v>
      </c>
      <c r="C15" s="40" t="s">
        <v>300</v>
      </c>
      <c r="D15" s="40" t="s">
        <v>75</v>
      </c>
      <c r="E15" s="41" t="s">
        <v>283</v>
      </c>
      <c r="F15" s="40" t="s">
        <v>70</v>
      </c>
      <c r="G15" s="40">
        <v>14</v>
      </c>
    </row>
    <row r="16" spans="1:7" ht="16.5" customHeight="1" x14ac:dyDescent="0.3">
      <c r="A16" s="39" t="s">
        <v>178</v>
      </c>
      <c r="B16" s="40">
        <v>3</v>
      </c>
      <c r="C16" s="40" t="s">
        <v>300</v>
      </c>
      <c r="D16" s="40" t="s">
        <v>74</v>
      </c>
      <c r="E16" s="41" t="s">
        <v>286</v>
      </c>
      <c r="F16" s="40" t="s">
        <v>67</v>
      </c>
      <c r="G16" s="40">
        <v>14</v>
      </c>
    </row>
    <row r="17" spans="1:7" ht="16.5" customHeight="1" x14ac:dyDescent="0.3">
      <c r="A17" s="39" t="s">
        <v>178</v>
      </c>
      <c r="B17" s="40">
        <v>3</v>
      </c>
      <c r="C17" s="40" t="s">
        <v>300</v>
      </c>
      <c r="D17" s="40" t="s">
        <v>0</v>
      </c>
      <c r="E17" s="41" t="s">
        <v>332</v>
      </c>
      <c r="F17" s="40" t="s">
        <v>70</v>
      </c>
      <c r="G17" s="40">
        <v>14</v>
      </c>
    </row>
    <row r="18" spans="1:7" ht="16.5" customHeight="1" x14ac:dyDescent="0.3">
      <c r="A18" s="39" t="s">
        <v>178</v>
      </c>
      <c r="B18" s="40">
        <v>3</v>
      </c>
      <c r="C18" s="40" t="s">
        <v>300</v>
      </c>
      <c r="D18" s="40" t="s">
        <v>3</v>
      </c>
      <c r="E18" s="41" t="s">
        <v>292</v>
      </c>
      <c r="F18" s="40" t="s">
        <v>67</v>
      </c>
      <c r="G18" s="40">
        <v>14</v>
      </c>
    </row>
    <row r="19" spans="1:7" ht="16.5" customHeight="1" x14ac:dyDescent="0.3">
      <c r="A19" s="30" t="s">
        <v>178</v>
      </c>
      <c r="B19" s="31">
        <v>4</v>
      </c>
      <c r="C19" s="31" t="s">
        <v>329</v>
      </c>
      <c r="D19" s="31" t="s">
        <v>3</v>
      </c>
      <c r="E19" s="32" t="s">
        <v>294</v>
      </c>
      <c r="F19" s="31" t="s">
        <v>70</v>
      </c>
      <c r="G19" s="31">
        <v>28</v>
      </c>
    </row>
    <row r="20" spans="1:7" ht="16.5" customHeight="1" x14ac:dyDescent="0.3">
      <c r="A20" s="30" t="s">
        <v>178</v>
      </c>
      <c r="B20" s="31">
        <v>4</v>
      </c>
      <c r="C20" s="31" t="s">
        <v>329</v>
      </c>
      <c r="D20" s="31" t="s">
        <v>70</v>
      </c>
      <c r="E20" s="32" t="s">
        <v>295</v>
      </c>
      <c r="F20" s="31" t="s">
        <v>67</v>
      </c>
      <c r="G20" s="31">
        <v>28</v>
      </c>
    </row>
    <row r="21" spans="1:7" ht="16.5" customHeight="1" x14ac:dyDescent="0.3">
      <c r="A21" s="30" t="s">
        <v>178</v>
      </c>
      <c r="B21" s="31">
        <v>4</v>
      </c>
      <c r="C21" s="31" t="s">
        <v>329</v>
      </c>
      <c r="D21" s="31" t="s">
        <v>72</v>
      </c>
      <c r="E21" s="32" t="s">
        <v>324</v>
      </c>
      <c r="F21" s="31" t="s">
        <v>67</v>
      </c>
      <c r="G21" s="31">
        <v>28</v>
      </c>
    </row>
    <row r="22" spans="1:7" ht="16.5" customHeight="1" x14ac:dyDescent="0.3">
      <c r="A22" s="30" t="s">
        <v>178</v>
      </c>
      <c r="B22" s="31">
        <v>4</v>
      </c>
      <c r="C22" s="31" t="s">
        <v>329</v>
      </c>
      <c r="D22" s="31" t="s">
        <v>68</v>
      </c>
      <c r="E22" s="32" t="s">
        <v>296</v>
      </c>
      <c r="F22" s="31" t="s">
        <v>67</v>
      </c>
      <c r="G22" s="31">
        <v>28</v>
      </c>
    </row>
    <row r="23" spans="1:7" ht="16.5" customHeight="1" x14ac:dyDescent="0.3">
      <c r="A23" s="30" t="s">
        <v>178</v>
      </c>
      <c r="B23" s="31">
        <v>4</v>
      </c>
      <c r="C23" s="31" t="s">
        <v>329</v>
      </c>
      <c r="D23" s="31" t="s">
        <v>66</v>
      </c>
      <c r="E23" s="32" t="s">
        <v>298</v>
      </c>
      <c r="F23" s="31" t="s">
        <v>67</v>
      </c>
      <c r="G23" s="31">
        <v>28</v>
      </c>
    </row>
    <row r="24" spans="1:7" ht="16.5" customHeight="1" x14ac:dyDescent="0.3">
      <c r="A24" s="30" t="s">
        <v>178</v>
      </c>
      <c r="B24" s="31">
        <v>4</v>
      </c>
      <c r="C24" s="31" t="s">
        <v>329</v>
      </c>
      <c r="D24" s="31" t="s">
        <v>71</v>
      </c>
      <c r="E24" s="32" t="s">
        <v>323</v>
      </c>
      <c r="F24" s="31" t="s">
        <v>67</v>
      </c>
      <c r="G24" s="31">
        <v>28</v>
      </c>
    </row>
    <row r="25" spans="1:7" ht="16.5" customHeight="1" x14ac:dyDescent="0.3">
      <c r="A25" s="30" t="s">
        <v>178</v>
      </c>
      <c r="B25" s="31">
        <v>4</v>
      </c>
      <c r="C25" s="31" t="s">
        <v>329</v>
      </c>
      <c r="D25" s="31" t="s">
        <v>69</v>
      </c>
      <c r="E25" s="32" t="s">
        <v>297</v>
      </c>
      <c r="F25" s="31" t="s">
        <v>70</v>
      </c>
      <c r="G25" s="31">
        <v>28</v>
      </c>
    </row>
    <row r="26" spans="1:7" ht="16.5" customHeight="1" x14ac:dyDescent="0.3">
      <c r="A26" s="27" t="s">
        <v>178</v>
      </c>
      <c r="B26" s="28">
        <v>5</v>
      </c>
      <c r="C26" s="28" t="s">
        <v>325</v>
      </c>
      <c r="D26" s="28" t="s">
        <v>68</v>
      </c>
      <c r="E26" s="29" t="s">
        <v>321</v>
      </c>
      <c r="F26" s="28" t="s">
        <v>67</v>
      </c>
      <c r="G26" s="28">
        <v>56</v>
      </c>
    </row>
    <row r="27" spans="1:7" ht="16.5" customHeight="1" x14ac:dyDescent="0.3">
      <c r="A27" s="27" t="s">
        <v>178</v>
      </c>
      <c r="B27" s="28">
        <v>5</v>
      </c>
      <c r="C27" s="28" t="s">
        <v>325</v>
      </c>
      <c r="D27" s="28" t="s">
        <v>69</v>
      </c>
      <c r="E27" s="29" t="s">
        <v>330</v>
      </c>
      <c r="F27" s="28" t="s">
        <v>67</v>
      </c>
      <c r="G27" s="28">
        <v>56</v>
      </c>
    </row>
    <row r="28" spans="1:7" ht="16.5" customHeight="1" x14ac:dyDescent="0.3">
      <c r="A28" s="27" t="s">
        <v>178</v>
      </c>
      <c r="B28" s="28">
        <v>5</v>
      </c>
      <c r="C28" s="28" t="s">
        <v>325</v>
      </c>
      <c r="D28" s="28" t="s">
        <v>66</v>
      </c>
      <c r="E28" s="29" t="s">
        <v>326</v>
      </c>
      <c r="F28" s="28" t="s">
        <v>76</v>
      </c>
      <c r="G28" s="28">
        <v>56</v>
      </c>
    </row>
    <row r="29" spans="1:7" ht="16.5" customHeight="1" x14ac:dyDescent="0.3">
      <c r="A29" s="20" t="s">
        <v>178</v>
      </c>
      <c r="B29" s="1">
        <v>6</v>
      </c>
      <c r="C29" s="1" t="s">
        <v>301</v>
      </c>
      <c r="D29" s="1" t="s">
        <v>68</v>
      </c>
      <c r="E29" s="25" t="s">
        <v>299</v>
      </c>
      <c r="F29" s="1" t="s">
        <v>70</v>
      </c>
      <c r="G29" s="1">
        <v>84</v>
      </c>
    </row>
    <row r="30" spans="1:7" ht="16.5" customHeight="1" x14ac:dyDescent="0.3">
      <c r="A30" s="20" t="s">
        <v>178</v>
      </c>
      <c r="B30" s="1">
        <v>7</v>
      </c>
      <c r="C30" s="1" t="s">
        <v>327</v>
      </c>
      <c r="D30" s="1" t="s">
        <v>68</v>
      </c>
      <c r="E30" s="25" t="s">
        <v>328</v>
      </c>
      <c r="F30" s="1" t="s">
        <v>76</v>
      </c>
      <c r="G30" s="1">
        <v>168</v>
      </c>
    </row>
    <row r="31" spans="1:7" ht="16.5" customHeight="1" x14ac:dyDescent="0.3">
      <c r="A31" s="20" t="s">
        <v>178</v>
      </c>
      <c r="B31" s="1">
        <v>8</v>
      </c>
      <c r="C31" s="1" t="s">
        <v>302</v>
      </c>
      <c r="D31" s="1" t="s">
        <v>201</v>
      </c>
      <c r="E31" s="25" t="s">
        <v>202</v>
      </c>
      <c r="F31" s="1" t="s">
        <v>70</v>
      </c>
      <c r="G31" s="1">
        <v>84</v>
      </c>
    </row>
    <row r="32" spans="1:7" ht="16.5" customHeight="1" x14ac:dyDescent="0.3">
      <c r="A32" s="20" t="s">
        <v>178</v>
      </c>
      <c r="B32" s="1">
        <v>8</v>
      </c>
      <c r="C32" s="1" t="s">
        <v>302</v>
      </c>
      <c r="D32" s="1" t="s">
        <v>203</v>
      </c>
      <c r="E32" s="25" t="s">
        <v>204</v>
      </c>
      <c r="F32" s="1" t="s">
        <v>70</v>
      </c>
      <c r="G32" s="1">
        <v>84</v>
      </c>
    </row>
    <row r="33" spans="1:7" ht="16.5" customHeight="1" x14ac:dyDescent="0.3">
      <c r="A33" s="20" t="s">
        <v>178</v>
      </c>
      <c r="B33" s="1">
        <v>8</v>
      </c>
      <c r="C33" s="1" t="s">
        <v>302</v>
      </c>
      <c r="D33" s="1" t="s">
        <v>205</v>
      </c>
      <c r="E33" s="25" t="s">
        <v>206</v>
      </c>
      <c r="F33" s="1" t="s">
        <v>70</v>
      </c>
      <c r="G33" s="1">
        <v>56</v>
      </c>
    </row>
    <row r="34" spans="1:7" ht="16.5" customHeight="1" x14ac:dyDescent="0.3">
      <c r="A34" s="20" t="s">
        <v>178</v>
      </c>
      <c r="B34" s="1">
        <v>8</v>
      </c>
      <c r="C34" s="1" t="s">
        <v>302</v>
      </c>
      <c r="D34" s="1" t="s">
        <v>207</v>
      </c>
      <c r="E34" s="25" t="s">
        <v>208</v>
      </c>
      <c r="F34" s="1" t="s">
        <v>70</v>
      </c>
      <c r="G34" s="1">
        <v>56</v>
      </c>
    </row>
    <row r="35" spans="1:7" ht="16.5" customHeight="1" x14ac:dyDescent="0.3">
      <c r="A35" s="20" t="s">
        <v>178</v>
      </c>
      <c r="B35" s="1">
        <v>8</v>
      </c>
      <c r="C35" s="1" t="s">
        <v>302</v>
      </c>
      <c r="D35" s="1" t="s">
        <v>209</v>
      </c>
      <c r="E35" s="25" t="s">
        <v>210</v>
      </c>
      <c r="F35" s="1" t="s">
        <v>70</v>
      </c>
      <c r="G35" s="1">
        <v>84</v>
      </c>
    </row>
    <row r="36" spans="1:7" ht="16.5" customHeight="1" x14ac:dyDescent="0.3">
      <c r="A36" s="20" t="s">
        <v>178</v>
      </c>
      <c r="B36" s="1">
        <v>8</v>
      </c>
      <c r="C36" s="1" t="s">
        <v>302</v>
      </c>
      <c r="D36" s="1" t="s">
        <v>211</v>
      </c>
      <c r="E36" s="25" t="s">
        <v>212</v>
      </c>
      <c r="F36" s="1" t="s">
        <v>70</v>
      </c>
      <c r="G36" s="1">
        <v>84</v>
      </c>
    </row>
    <row r="37" spans="1:7" ht="16.5" customHeight="1" x14ac:dyDescent="0.3">
      <c r="A37" s="20" t="s">
        <v>178</v>
      </c>
      <c r="B37" s="1">
        <v>8</v>
      </c>
      <c r="C37" s="1" t="s">
        <v>302</v>
      </c>
      <c r="D37" s="1" t="s">
        <v>213</v>
      </c>
      <c r="E37" s="25" t="s">
        <v>214</v>
      </c>
      <c r="F37" s="1" t="s">
        <v>70</v>
      </c>
      <c r="G37" s="1">
        <v>84</v>
      </c>
    </row>
    <row r="38" spans="1:7" ht="16.5" customHeight="1" x14ac:dyDescent="0.3">
      <c r="A38" s="20" t="s">
        <v>178</v>
      </c>
      <c r="B38" s="1">
        <v>8</v>
      </c>
      <c r="C38" s="1" t="s">
        <v>302</v>
      </c>
      <c r="D38" s="1" t="s">
        <v>215</v>
      </c>
      <c r="E38" s="25" t="s">
        <v>216</v>
      </c>
      <c r="F38" s="1" t="s">
        <v>70</v>
      </c>
      <c r="G38" s="1">
        <v>84</v>
      </c>
    </row>
    <row r="39" spans="1:7" ht="16.5" customHeight="1" x14ac:dyDescent="0.3">
      <c r="A39" s="20" t="s">
        <v>178</v>
      </c>
      <c r="B39" s="1">
        <v>8</v>
      </c>
      <c r="C39" s="1" t="s">
        <v>302</v>
      </c>
      <c r="D39" s="1" t="s">
        <v>217</v>
      </c>
      <c r="E39" s="25" t="s">
        <v>218</v>
      </c>
      <c r="F39" s="1" t="s">
        <v>70</v>
      </c>
      <c r="G39" s="1">
        <v>84</v>
      </c>
    </row>
    <row r="40" spans="1:7" ht="16.5" customHeight="1" x14ac:dyDescent="0.3">
      <c r="A40" s="20" t="s">
        <v>178</v>
      </c>
      <c r="B40" s="1">
        <v>8</v>
      </c>
      <c r="C40" s="1" t="s">
        <v>302</v>
      </c>
      <c r="D40" s="1" t="s">
        <v>219</v>
      </c>
      <c r="E40" s="25" t="s">
        <v>220</v>
      </c>
      <c r="F40" s="1" t="s">
        <v>70</v>
      </c>
      <c r="G40" s="1">
        <v>84</v>
      </c>
    </row>
    <row r="41" spans="1:7" ht="16.5" customHeight="1" x14ac:dyDescent="0.3">
      <c r="A41" s="20" t="s">
        <v>178</v>
      </c>
      <c r="B41" s="1">
        <v>8</v>
      </c>
      <c r="C41" s="1" t="s">
        <v>302</v>
      </c>
      <c r="D41" s="1" t="s">
        <v>221</v>
      </c>
      <c r="E41" s="25" t="s">
        <v>222</v>
      </c>
      <c r="F41" s="1" t="s">
        <v>70</v>
      </c>
      <c r="G41" s="1">
        <v>84</v>
      </c>
    </row>
    <row r="42" spans="1:7" ht="16.5" customHeight="1" x14ac:dyDescent="0.3">
      <c r="A42" s="20" t="s">
        <v>178</v>
      </c>
      <c r="B42" s="1">
        <v>8</v>
      </c>
      <c r="C42" s="1" t="s">
        <v>302</v>
      </c>
      <c r="D42" s="1" t="s">
        <v>223</v>
      </c>
      <c r="E42" s="25" t="s">
        <v>224</v>
      </c>
      <c r="F42" s="1" t="s">
        <v>70</v>
      </c>
      <c r="G42" s="1">
        <v>84</v>
      </c>
    </row>
    <row r="43" spans="1:7" ht="16.5" customHeight="1" x14ac:dyDescent="0.3">
      <c r="A43" s="20" t="s">
        <v>178</v>
      </c>
      <c r="B43" s="1">
        <v>8</v>
      </c>
      <c r="C43" s="1" t="s">
        <v>302</v>
      </c>
      <c r="D43" s="1" t="s">
        <v>225</v>
      </c>
      <c r="E43" s="25" t="s">
        <v>226</v>
      </c>
      <c r="F43" s="1" t="s">
        <v>70</v>
      </c>
      <c r="G43" s="1">
        <v>84</v>
      </c>
    </row>
    <row r="44" spans="1:7" ht="16.5" customHeight="1" x14ac:dyDescent="0.3">
      <c r="A44" s="20" t="s">
        <v>178</v>
      </c>
      <c r="B44" s="1">
        <v>8</v>
      </c>
      <c r="C44" s="1" t="s">
        <v>302</v>
      </c>
      <c r="D44" s="1" t="s">
        <v>227</v>
      </c>
      <c r="E44" s="25" t="s">
        <v>228</v>
      </c>
      <c r="F44" s="1" t="s">
        <v>70</v>
      </c>
      <c r="G44" s="1">
        <v>84</v>
      </c>
    </row>
    <row r="45" spans="1:7" ht="16.5" customHeight="1" x14ac:dyDescent="0.3">
      <c r="A45" s="20" t="s">
        <v>178</v>
      </c>
      <c r="B45" s="1">
        <v>8</v>
      </c>
      <c r="C45" s="1" t="s">
        <v>302</v>
      </c>
      <c r="D45" s="1" t="s">
        <v>229</v>
      </c>
      <c r="E45" s="25" t="s">
        <v>230</v>
      </c>
      <c r="F45" s="1" t="s">
        <v>70</v>
      </c>
      <c r="G45" s="1">
        <v>84</v>
      </c>
    </row>
    <row r="46" spans="1:7" ht="16.5" customHeight="1" x14ac:dyDescent="0.3">
      <c r="A46" s="20" t="s">
        <v>178</v>
      </c>
      <c r="B46" s="1">
        <v>8</v>
      </c>
      <c r="C46" s="1" t="s">
        <v>302</v>
      </c>
      <c r="D46" s="1" t="s">
        <v>231</v>
      </c>
      <c r="E46" s="25" t="s">
        <v>232</v>
      </c>
      <c r="F46" s="1" t="s">
        <v>70</v>
      </c>
      <c r="G46" s="1">
        <v>84</v>
      </c>
    </row>
    <row r="47" spans="1:7" ht="16.5" customHeight="1" x14ac:dyDescent="0.3">
      <c r="A47" s="20" t="s">
        <v>178</v>
      </c>
      <c r="B47" s="1">
        <v>8</v>
      </c>
      <c r="C47" s="1" t="s">
        <v>302</v>
      </c>
      <c r="D47" s="1" t="s">
        <v>233</v>
      </c>
      <c r="E47" s="25" t="s">
        <v>234</v>
      </c>
      <c r="F47" s="1" t="s">
        <v>70</v>
      </c>
      <c r="G47" s="1">
        <v>56</v>
      </c>
    </row>
    <row r="48" spans="1:7" ht="16.5" customHeight="1" x14ac:dyDescent="0.3">
      <c r="A48" s="20" t="s">
        <v>178</v>
      </c>
      <c r="B48" s="1">
        <v>8</v>
      </c>
      <c r="C48" s="1" t="s">
        <v>302</v>
      </c>
      <c r="D48" s="1" t="s">
        <v>235</v>
      </c>
      <c r="E48" s="25" t="s">
        <v>236</v>
      </c>
      <c r="F48" s="1" t="s">
        <v>70</v>
      </c>
      <c r="G48" s="1">
        <v>84</v>
      </c>
    </row>
    <row r="49" spans="1:7" ht="16.5" customHeight="1" x14ac:dyDescent="0.3">
      <c r="A49" s="20" t="s">
        <v>178</v>
      </c>
      <c r="B49" s="1">
        <v>8</v>
      </c>
      <c r="C49" s="1" t="s">
        <v>302</v>
      </c>
      <c r="D49" s="1" t="s">
        <v>237</v>
      </c>
      <c r="E49" s="25" t="s">
        <v>238</v>
      </c>
      <c r="F49" s="1" t="s">
        <v>70</v>
      </c>
      <c r="G49" s="1">
        <v>84</v>
      </c>
    </row>
    <row r="50" spans="1:7" ht="16.5" customHeight="1" x14ac:dyDescent="0.3">
      <c r="A50" s="20" t="s">
        <v>178</v>
      </c>
      <c r="B50" s="1">
        <v>8</v>
      </c>
      <c r="C50" s="1" t="s">
        <v>302</v>
      </c>
      <c r="D50" s="1" t="s">
        <v>239</v>
      </c>
      <c r="E50" s="25" t="s">
        <v>240</v>
      </c>
      <c r="F50" s="1" t="s">
        <v>70</v>
      </c>
      <c r="G50" s="1">
        <v>84</v>
      </c>
    </row>
    <row r="51" spans="1:7" ht="16.5" customHeight="1" x14ac:dyDescent="0.3">
      <c r="A51" s="20" t="s">
        <v>178</v>
      </c>
      <c r="B51" s="1">
        <v>8</v>
      </c>
      <c r="C51" s="1" t="s">
        <v>302</v>
      </c>
      <c r="D51" s="1" t="s">
        <v>241</v>
      </c>
      <c r="E51" s="25" t="s">
        <v>242</v>
      </c>
      <c r="F51" s="1" t="s">
        <v>70</v>
      </c>
      <c r="G51" s="1">
        <v>84</v>
      </c>
    </row>
    <row r="52" spans="1:7" ht="16.5" customHeight="1" x14ac:dyDescent="0.3">
      <c r="A52" s="20" t="s">
        <v>178</v>
      </c>
      <c r="B52" s="1">
        <v>8</v>
      </c>
      <c r="C52" s="1" t="s">
        <v>302</v>
      </c>
      <c r="D52" s="1" t="s">
        <v>243</v>
      </c>
      <c r="E52" s="25" t="s">
        <v>244</v>
      </c>
      <c r="F52" s="1" t="s">
        <v>70</v>
      </c>
      <c r="G52" s="1">
        <v>84</v>
      </c>
    </row>
    <row r="53" spans="1:7" ht="16.5" customHeight="1" x14ac:dyDescent="0.3">
      <c r="A53" s="20" t="s">
        <v>178</v>
      </c>
      <c r="B53" s="1">
        <v>8</v>
      </c>
      <c r="C53" s="1" t="s">
        <v>302</v>
      </c>
      <c r="D53" s="1" t="s">
        <v>245</v>
      </c>
      <c r="E53" s="25" t="s">
        <v>246</v>
      </c>
      <c r="F53" s="1" t="s">
        <v>70</v>
      </c>
      <c r="G53" s="1">
        <v>84</v>
      </c>
    </row>
    <row r="54" spans="1:7" ht="16.5" customHeight="1" x14ac:dyDescent="0.3">
      <c r="A54" s="20" t="s">
        <v>178</v>
      </c>
      <c r="B54" s="1">
        <v>8</v>
      </c>
      <c r="C54" s="1" t="s">
        <v>302</v>
      </c>
      <c r="D54" s="1" t="s">
        <v>247</v>
      </c>
      <c r="E54" s="25" t="s">
        <v>248</v>
      </c>
      <c r="F54" s="1" t="s">
        <v>70</v>
      </c>
      <c r="G54" s="1">
        <v>84</v>
      </c>
    </row>
    <row r="55" spans="1:7" ht="16.5" customHeight="1" x14ac:dyDescent="0.3">
      <c r="A55" s="20" t="s">
        <v>178</v>
      </c>
      <c r="B55" s="1">
        <v>8</v>
      </c>
      <c r="C55" s="1" t="s">
        <v>302</v>
      </c>
      <c r="D55" s="1" t="s">
        <v>249</v>
      </c>
      <c r="E55" s="25" t="s">
        <v>250</v>
      </c>
      <c r="F55" s="1" t="s">
        <v>70</v>
      </c>
      <c r="G55" s="1">
        <v>84</v>
      </c>
    </row>
    <row r="56" spans="1:7" ht="16.5" customHeight="1" x14ac:dyDescent="0.3">
      <c r="A56" s="20" t="s">
        <v>178</v>
      </c>
      <c r="B56" s="1">
        <v>8</v>
      </c>
      <c r="C56" s="1" t="s">
        <v>302</v>
      </c>
      <c r="D56" s="1" t="s">
        <v>251</v>
      </c>
      <c r="E56" s="25" t="s">
        <v>252</v>
      </c>
      <c r="F56" s="1" t="s">
        <v>70</v>
      </c>
      <c r="G56" s="1">
        <v>84</v>
      </c>
    </row>
    <row r="57" spans="1:7" ht="16.5" customHeight="1" x14ac:dyDescent="0.3">
      <c r="A57" s="20" t="s">
        <v>178</v>
      </c>
      <c r="B57" s="1">
        <v>8</v>
      </c>
      <c r="C57" s="1" t="s">
        <v>302</v>
      </c>
      <c r="D57" s="1" t="s">
        <v>253</v>
      </c>
      <c r="E57" s="25" t="s">
        <v>254</v>
      </c>
      <c r="F57" s="1" t="s">
        <v>70</v>
      </c>
      <c r="G57" s="1">
        <v>84</v>
      </c>
    </row>
    <row r="58" spans="1:7" ht="16.5" customHeight="1" x14ac:dyDescent="0.3">
      <c r="A58" s="20" t="s">
        <v>178</v>
      </c>
      <c r="B58" s="1">
        <v>8</v>
      </c>
      <c r="C58" s="1" t="s">
        <v>302</v>
      </c>
      <c r="D58" s="1" t="s">
        <v>255</v>
      </c>
      <c r="E58" s="25" t="s">
        <v>256</v>
      </c>
      <c r="F58" s="1" t="s">
        <v>70</v>
      </c>
      <c r="G58" s="1">
        <v>84</v>
      </c>
    </row>
    <row r="59" spans="1:7" ht="16.5" customHeight="1" x14ac:dyDescent="0.3">
      <c r="A59" s="20" t="s">
        <v>178</v>
      </c>
      <c r="B59" s="1">
        <v>8</v>
      </c>
      <c r="C59" s="1" t="s">
        <v>302</v>
      </c>
      <c r="D59" s="1" t="s">
        <v>257</v>
      </c>
      <c r="E59" s="25" t="s">
        <v>258</v>
      </c>
      <c r="F59" s="1" t="s">
        <v>70</v>
      </c>
      <c r="G59" s="1">
        <v>84</v>
      </c>
    </row>
    <row r="60" spans="1:7" ht="16.5" customHeight="1" x14ac:dyDescent="0.3">
      <c r="A60" s="20" t="s">
        <v>178</v>
      </c>
      <c r="B60" s="1">
        <v>8</v>
      </c>
      <c r="C60" s="1" t="s">
        <v>302</v>
      </c>
      <c r="D60" s="1" t="s">
        <v>259</v>
      </c>
      <c r="E60" s="25" t="s">
        <v>260</v>
      </c>
      <c r="F60" s="1" t="s">
        <v>70</v>
      </c>
      <c r="G60" s="1">
        <v>84</v>
      </c>
    </row>
    <row r="61" spans="1:7" ht="16.5" customHeight="1" x14ac:dyDescent="0.3">
      <c r="A61" s="20" t="s">
        <v>178</v>
      </c>
      <c r="B61" s="1">
        <v>8</v>
      </c>
      <c r="C61" s="1" t="s">
        <v>302</v>
      </c>
      <c r="D61" s="1" t="s">
        <v>261</v>
      </c>
      <c r="E61" s="25" t="s">
        <v>262</v>
      </c>
      <c r="F61" s="1" t="s">
        <v>70</v>
      </c>
      <c r="G61" s="1">
        <v>84</v>
      </c>
    </row>
    <row r="62" spans="1:7" ht="16.5" customHeight="1" x14ac:dyDescent="0.3">
      <c r="A62" s="20" t="s">
        <v>178</v>
      </c>
      <c r="B62" s="1">
        <v>8</v>
      </c>
      <c r="C62" s="1" t="s">
        <v>302</v>
      </c>
      <c r="D62" s="1" t="s">
        <v>263</v>
      </c>
      <c r="E62" s="25" t="s">
        <v>264</v>
      </c>
      <c r="F62" s="1" t="s">
        <v>70</v>
      </c>
      <c r="G62" s="1">
        <v>56</v>
      </c>
    </row>
    <row r="63" spans="1:7" ht="16.5" customHeight="1" x14ac:dyDescent="0.3">
      <c r="A63" s="20" t="s">
        <v>178</v>
      </c>
      <c r="B63" s="1">
        <v>8</v>
      </c>
      <c r="C63" s="1" t="s">
        <v>302</v>
      </c>
      <c r="D63" s="1" t="s">
        <v>265</v>
      </c>
      <c r="E63" s="25" t="s">
        <v>266</v>
      </c>
      <c r="F63" s="1" t="s">
        <v>70</v>
      </c>
      <c r="G63" s="1">
        <v>84</v>
      </c>
    </row>
    <row r="64" spans="1:7" ht="16.5" customHeight="1" x14ac:dyDescent="0.3">
      <c r="A64" s="20" t="s">
        <v>178</v>
      </c>
      <c r="B64" s="1">
        <v>8</v>
      </c>
      <c r="C64" s="1" t="s">
        <v>302</v>
      </c>
      <c r="D64" s="1" t="s">
        <v>267</v>
      </c>
      <c r="E64" s="25" t="s">
        <v>268</v>
      </c>
      <c r="F64" s="1" t="s">
        <v>70</v>
      </c>
      <c r="G64" s="1">
        <v>84</v>
      </c>
    </row>
    <row r="65" spans="1:7" ht="16.5" customHeight="1" x14ac:dyDescent="0.3">
      <c r="A65" s="20" t="s">
        <v>178</v>
      </c>
      <c r="B65" s="1">
        <v>8</v>
      </c>
      <c r="C65" s="1" t="s">
        <v>302</v>
      </c>
      <c r="D65" s="1" t="s">
        <v>269</v>
      </c>
      <c r="E65" s="25" t="s">
        <v>270</v>
      </c>
      <c r="F65" s="1" t="s">
        <v>70</v>
      </c>
      <c r="G65" s="1">
        <v>84</v>
      </c>
    </row>
    <row r="66" spans="1:7" ht="16.5" customHeight="1" x14ac:dyDescent="0.3">
      <c r="A66" s="20" t="s">
        <v>178</v>
      </c>
      <c r="B66" s="1">
        <v>8</v>
      </c>
      <c r="C66" s="1" t="s">
        <v>302</v>
      </c>
      <c r="D66" s="1" t="s">
        <v>271</v>
      </c>
      <c r="E66" s="25" t="s">
        <v>272</v>
      </c>
      <c r="F66" s="1" t="s">
        <v>70</v>
      </c>
      <c r="G66" s="1">
        <v>84</v>
      </c>
    </row>
    <row r="67" spans="1:7" ht="16.5" customHeight="1" x14ac:dyDescent="0.3">
      <c r="A67" s="23" t="s">
        <v>178</v>
      </c>
      <c r="B67" s="24">
        <v>8</v>
      </c>
      <c r="C67" s="24" t="s">
        <v>302</v>
      </c>
      <c r="D67" s="24" t="s">
        <v>273</v>
      </c>
      <c r="E67" s="26" t="s">
        <v>274</v>
      </c>
      <c r="F67" s="24" t="s">
        <v>70</v>
      </c>
      <c r="G67" s="24">
        <v>84</v>
      </c>
    </row>
    <row r="134" spans="6:7" ht="16.5" customHeight="1" x14ac:dyDescent="0.3">
      <c r="F134"/>
      <c r="G134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I34"/>
  <sheetViews>
    <sheetView zoomScale="80" zoomScaleNormal="80" workbookViewId="0">
      <selection activeCell="A2" sqref="A2:XFD33"/>
    </sheetView>
  </sheetViews>
  <sheetFormatPr baseColWidth="10" defaultColWidth="11.44140625" defaultRowHeight="19.8" customHeight="1" x14ac:dyDescent="0.3"/>
  <cols>
    <col min="1" max="1" width="27.21875" style="5" customWidth="1"/>
    <col min="2" max="2" width="19.6640625" style="3" customWidth="1"/>
    <col min="3" max="3" width="16.77734375" style="3" customWidth="1"/>
    <col min="4" max="4" width="14.109375" style="3" customWidth="1"/>
    <col min="5" max="5" width="63" style="17" customWidth="1"/>
    <col min="6" max="6" width="18.33203125" style="3" customWidth="1"/>
    <col min="7" max="7" width="19.5546875" style="3" customWidth="1"/>
    <col min="8" max="16384" width="11.44140625" style="3"/>
  </cols>
  <sheetData>
    <row r="1" spans="1:9" s="5" customFormat="1" ht="19.8" customHeight="1" x14ac:dyDescent="0.3">
      <c r="A1" s="11" t="s">
        <v>134</v>
      </c>
      <c r="B1" s="11" t="s">
        <v>140</v>
      </c>
      <c r="C1" s="11" t="s">
        <v>135</v>
      </c>
      <c r="D1" s="11" t="s">
        <v>136</v>
      </c>
      <c r="E1" s="15" t="s">
        <v>137</v>
      </c>
      <c r="F1" s="11" t="s">
        <v>138</v>
      </c>
      <c r="G1" s="11" t="s">
        <v>139</v>
      </c>
    </row>
    <row r="2" spans="1:9" s="5" customFormat="1" ht="19.8" customHeight="1" x14ac:dyDescent="0.3">
      <c r="A2" s="3" t="s">
        <v>145</v>
      </c>
      <c r="B2" s="3">
        <v>1</v>
      </c>
      <c r="C2" s="3" t="s">
        <v>77</v>
      </c>
      <c r="D2" s="4" t="s">
        <v>68</v>
      </c>
      <c r="E2" s="16" t="s">
        <v>79</v>
      </c>
      <c r="F2" s="4" t="s">
        <v>70</v>
      </c>
      <c r="G2" s="3">
        <v>1</v>
      </c>
      <c r="I2" s="2"/>
    </row>
    <row r="3" spans="1:9" s="5" customFormat="1" ht="19.8" customHeight="1" x14ac:dyDescent="0.3">
      <c r="A3" s="3" t="s">
        <v>145</v>
      </c>
      <c r="B3" s="3">
        <v>1</v>
      </c>
      <c r="C3" s="3" t="s">
        <v>77</v>
      </c>
      <c r="D3" s="3" t="s">
        <v>66</v>
      </c>
      <c r="E3" s="17" t="s">
        <v>13</v>
      </c>
      <c r="F3" s="3" t="s">
        <v>67</v>
      </c>
      <c r="G3" s="3">
        <v>1</v>
      </c>
    </row>
    <row r="4" spans="1:9" s="11" customFormat="1" ht="19.8" customHeight="1" x14ac:dyDescent="0.3">
      <c r="A4" s="3" t="s">
        <v>145</v>
      </c>
      <c r="B4" s="3">
        <v>1</v>
      </c>
      <c r="C4" s="3" t="s">
        <v>77</v>
      </c>
      <c r="D4" s="4" t="s">
        <v>69</v>
      </c>
      <c r="E4" s="17" t="s">
        <v>14</v>
      </c>
      <c r="F4" s="3" t="s">
        <v>67</v>
      </c>
      <c r="G4" s="3">
        <v>1</v>
      </c>
    </row>
    <row r="5" spans="1:9" ht="19.8" customHeight="1" x14ac:dyDescent="0.3">
      <c r="A5" s="3" t="s">
        <v>145</v>
      </c>
      <c r="B5" s="3">
        <v>1</v>
      </c>
      <c r="C5" s="3" t="s">
        <v>77</v>
      </c>
      <c r="D5" s="3" t="s">
        <v>3</v>
      </c>
      <c r="E5" s="17" t="s">
        <v>15</v>
      </c>
      <c r="F5" s="3" t="s">
        <v>69</v>
      </c>
      <c r="G5" s="3">
        <v>1</v>
      </c>
    </row>
    <row r="6" spans="1:9" ht="19.8" customHeight="1" x14ac:dyDescent="0.3">
      <c r="A6" s="3" t="s">
        <v>145</v>
      </c>
      <c r="B6" s="3">
        <v>1</v>
      </c>
      <c r="C6" s="3" t="s">
        <v>77</v>
      </c>
      <c r="D6" s="4" t="s">
        <v>70</v>
      </c>
      <c r="E6" s="17" t="s">
        <v>16</v>
      </c>
      <c r="F6" s="3" t="s">
        <v>67</v>
      </c>
      <c r="G6" s="3">
        <v>1</v>
      </c>
    </row>
    <row r="7" spans="1:9" ht="19.8" customHeight="1" x14ac:dyDescent="0.3">
      <c r="A7" s="3" t="s">
        <v>145</v>
      </c>
      <c r="B7" s="3">
        <v>1</v>
      </c>
      <c r="C7" s="3" t="s">
        <v>77</v>
      </c>
      <c r="D7" s="3" t="s">
        <v>71</v>
      </c>
      <c r="E7" s="17" t="s">
        <v>17</v>
      </c>
      <c r="F7" s="3" t="s">
        <v>70</v>
      </c>
      <c r="G7" s="3">
        <v>1</v>
      </c>
    </row>
    <row r="8" spans="1:9" ht="19.8" customHeight="1" x14ac:dyDescent="0.3">
      <c r="A8" s="3" t="s">
        <v>145</v>
      </c>
      <c r="B8" s="3">
        <v>1</v>
      </c>
      <c r="C8" s="3" t="s">
        <v>77</v>
      </c>
      <c r="D8" s="4" t="s">
        <v>72</v>
      </c>
      <c r="E8" s="17" t="s">
        <v>133</v>
      </c>
      <c r="F8" s="3" t="s">
        <v>70</v>
      </c>
      <c r="G8" s="3">
        <v>1</v>
      </c>
    </row>
    <row r="9" spans="1:9" ht="19.8" customHeight="1" x14ac:dyDescent="0.3">
      <c r="A9" s="3" t="s">
        <v>145</v>
      </c>
      <c r="B9" s="3">
        <v>2</v>
      </c>
      <c r="C9" s="3" t="s">
        <v>5</v>
      </c>
      <c r="D9" s="4" t="s">
        <v>68</v>
      </c>
      <c r="E9" s="16" t="s">
        <v>80</v>
      </c>
      <c r="F9" s="4" t="s">
        <v>70</v>
      </c>
      <c r="G9" s="3">
        <v>7</v>
      </c>
    </row>
    <row r="10" spans="1:9" ht="19.8" customHeight="1" x14ac:dyDescent="0.3">
      <c r="A10" s="3" t="s">
        <v>145</v>
      </c>
      <c r="B10" s="3">
        <v>2</v>
      </c>
      <c r="C10" s="3" t="s">
        <v>5</v>
      </c>
      <c r="D10" s="3" t="s">
        <v>66</v>
      </c>
      <c r="E10" s="17" t="s">
        <v>18</v>
      </c>
      <c r="F10" s="3" t="s">
        <v>67</v>
      </c>
      <c r="G10" s="3">
        <v>7</v>
      </c>
    </row>
    <row r="11" spans="1:9" ht="19.8" customHeight="1" x14ac:dyDescent="0.3">
      <c r="A11" s="3" t="s">
        <v>145</v>
      </c>
      <c r="B11" s="3">
        <v>2</v>
      </c>
      <c r="C11" s="3" t="s">
        <v>5</v>
      </c>
      <c r="D11" s="4" t="s">
        <v>69</v>
      </c>
      <c r="E11" s="17" t="s">
        <v>19</v>
      </c>
      <c r="F11" s="3" t="s">
        <v>67</v>
      </c>
      <c r="G11" s="3">
        <v>7</v>
      </c>
    </row>
    <row r="12" spans="1:9" ht="19.8" customHeight="1" x14ac:dyDescent="0.3">
      <c r="A12" s="3" t="s">
        <v>145</v>
      </c>
      <c r="B12" s="3">
        <v>2</v>
      </c>
      <c r="C12" s="3" t="s">
        <v>5</v>
      </c>
      <c r="D12" s="3" t="s">
        <v>3</v>
      </c>
      <c r="E12" s="17" t="s">
        <v>20</v>
      </c>
      <c r="F12" s="3" t="s">
        <v>67</v>
      </c>
      <c r="G12" s="3">
        <v>7</v>
      </c>
    </row>
    <row r="13" spans="1:9" ht="19.8" customHeight="1" x14ac:dyDescent="0.3">
      <c r="A13" s="3" t="s">
        <v>145</v>
      </c>
      <c r="B13" s="3">
        <v>2</v>
      </c>
      <c r="C13" s="3" t="s">
        <v>5</v>
      </c>
      <c r="D13" s="4" t="s">
        <v>70</v>
      </c>
      <c r="E13" s="17" t="s">
        <v>21</v>
      </c>
      <c r="F13" s="3" t="s">
        <v>67</v>
      </c>
      <c r="G13" s="3">
        <v>7</v>
      </c>
    </row>
    <row r="14" spans="1:9" ht="19.8" customHeight="1" x14ac:dyDescent="0.3">
      <c r="A14" s="3" t="s">
        <v>145</v>
      </c>
      <c r="B14" s="3">
        <v>2</v>
      </c>
      <c r="C14" s="3" t="s">
        <v>5</v>
      </c>
      <c r="D14" s="3" t="s">
        <v>71</v>
      </c>
      <c r="E14" s="17" t="s">
        <v>24</v>
      </c>
      <c r="F14" s="3" t="s">
        <v>69</v>
      </c>
      <c r="G14" s="3">
        <v>7</v>
      </c>
    </row>
    <row r="15" spans="1:9" ht="19.8" customHeight="1" x14ac:dyDescent="0.3">
      <c r="A15" s="3" t="s">
        <v>145</v>
      </c>
      <c r="B15" s="3">
        <v>2</v>
      </c>
      <c r="C15" s="3" t="s">
        <v>5</v>
      </c>
      <c r="D15" s="3" t="s">
        <v>72</v>
      </c>
      <c r="E15" s="17" t="s">
        <v>22</v>
      </c>
      <c r="F15" s="3" t="s">
        <v>70</v>
      </c>
      <c r="G15" s="3">
        <v>7</v>
      </c>
    </row>
    <row r="16" spans="1:9" ht="19.8" customHeight="1" x14ac:dyDescent="0.3">
      <c r="A16" s="3" t="s">
        <v>145</v>
      </c>
      <c r="B16" s="3">
        <v>2</v>
      </c>
      <c r="C16" s="3" t="s">
        <v>5</v>
      </c>
      <c r="D16" s="3" t="s">
        <v>73</v>
      </c>
      <c r="E16" s="17" t="s">
        <v>23</v>
      </c>
      <c r="F16" s="3" t="s">
        <v>69</v>
      </c>
      <c r="G16" s="3">
        <v>7</v>
      </c>
    </row>
    <row r="17" spans="1:7" ht="19.8" customHeight="1" x14ac:dyDescent="0.3">
      <c r="A17" s="3" t="s">
        <v>145</v>
      </c>
      <c r="B17" s="3">
        <v>4</v>
      </c>
      <c r="C17" s="3" t="s">
        <v>7</v>
      </c>
      <c r="D17" s="4" t="s">
        <v>68</v>
      </c>
      <c r="E17" s="16" t="s">
        <v>12</v>
      </c>
      <c r="F17" s="4" t="s">
        <v>70</v>
      </c>
      <c r="G17" s="3">
        <v>28</v>
      </c>
    </row>
    <row r="18" spans="1:7" ht="19.8" customHeight="1" x14ac:dyDescent="0.3">
      <c r="A18" s="3" t="s">
        <v>145</v>
      </c>
      <c r="B18" s="3">
        <v>4</v>
      </c>
      <c r="C18" s="3" t="s">
        <v>7</v>
      </c>
      <c r="D18" s="3" t="s">
        <v>66</v>
      </c>
      <c r="E18" s="17" t="s">
        <v>27</v>
      </c>
      <c r="F18" s="3" t="s">
        <v>70</v>
      </c>
      <c r="G18" s="3">
        <v>28</v>
      </c>
    </row>
    <row r="19" spans="1:7" ht="19.8" customHeight="1" x14ac:dyDescent="0.3">
      <c r="A19" s="3" t="s">
        <v>145</v>
      </c>
      <c r="B19" s="3">
        <v>4</v>
      </c>
      <c r="C19" s="3" t="s">
        <v>7</v>
      </c>
      <c r="D19" s="4" t="s">
        <v>69</v>
      </c>
      <c r="E19" s="17" t="s">
        <v>25</v>
      </c>
      <c r="F19" s="3" t="s">
        <v>70</v>
      </c>
      <c r="G19" s="3">
        <v>28</v>
      </c>
    </row>
    <row r="20" spans="1:7" ht="19.8" customHeight="1" x14ac:dyDescent="0.3">
      <c r="A20" s="3" t="s">
        <v>145</v>
      </c>
      <c r="B20" s="3">
        <v>4</v>
      </c>
      <c r="C20" s="3" t="s">
        <v>7</v>
      </c>
      <c r="D20" s="3" t="s">
        <v>3</v>
      </c>
      <c r="E20" s="17" t="s">
        <v>26</v>
      </c>
      <c r="F20" s="3" t="s">
        <v>76</v>
      </c>
      <c r="G20" s="3">
        <v>28</v>
      </c>
    </row>
    <row r="21" spans="1:7" ht="19.8" customHeight="1" x14ac:dyDescent="0.3">
      <c r="A21" s="3" t="s">
        <v>145</v>
      </c>
      <c r="B21" s="3">
        <v>4</v>
      </c>
      <c r="C21" s="3" t="s">
        <v>7</v>
      </c>
      <c r="D21" s="4" t="s">
        <v>70</v>
      </c>
      <c r="E21" s="17" t="s">
        <v>28</v>
      </c>
      <c r="F21" s="3" t="s">
        <v>67</v>
      </c>
      <c r="G21" s="3">
        <v>28</v>
      </c>
    </row>
    <row r="22" spans="1:7" ht="19.8" customHeight="1" x14ac:dyDescent="0.3">
      <c r="A22" s="3" t="s">
        <v>145</v>
      </c>
      <c r="B22" s="3">
        <v>4</v>
      </c>
      <c r="C22" s="3" t="s">
        <v>7</v>
      </c>
      <c r="D22" s="3" t="s">
        <v>71</v>
      </c>
      <c r="E22" s="17" t="s">
        <v>29</v>
      </c>
      <c r="F22" s="3" t="s">
        <v>67</v>
      </c>
      <c r="G22" s="3">
        <v>28</v>
      </c>
    </row>
    <row r="23" spans="1:7" ht="19.8" customHeight="1" x14ac:dyDescent="0.3">
      <c r="A23" s="3" t="s">
        <v>145</v>
      </c>
      <c r="B23" s="3">
        <v>5</v>
      </c>
      <c r="C23" s="3" t="s">
        <v>8</v>
      </c>
      <c r="D23" s="3" t="s">
        <v>68</v>
      </c>
      <c r="E23" s="17" t="s">
        <v>82</v>
      </c>
      <c r="F23" s="3" t="s">
        <v>76</v>
      </c>
      <c r="G23" s="3">
        <v>56</v>
      </c>
    </row>
    <row r="24" spans="1:7" ht="19.8" customHeight="1" x14ac:dyDescent="0.3">
      <c r="A24" s="3" t="s">
        <v>145</v>
      </c>
      <c r="B24" s="3">
        <v>5</v>
      </c>
      <c r="C24" s="3" t="s">
        <v>8</v>
      </c>
      <c r="D24" s="5" t="s">
        <v>66</v>
      </c>
      <c r="E24" s="18" t="s">
        <v>30</v>
      </c>
      <c r="F24" s="5" t="s">
        <v>70</v>
      </c>
      <c r="G24" s="3">
        <v>56</v>
      </c>
    </row>
    <row r="25" spans="1:7" ht="19.8" customHeight="1" x14ac:dyDescent="0.3">
      <c r="A25" s="3" t="s">
        <v>145</v>
      </c>
      <c r="B25" s="3">
        <v>5</v>
      </c>
      <c r="C25" s="3" t="s">
        <v>8</v>
      </c>
      <c r="D25" s="5" t="s">
        <v>69</v>
      </c>
      <c r="E25" s="18" t="s">
        <v>31</v>
      </c>
      <c r="F25" s="5" t="s">
        <v>70</v>
      </c>
      <c r="G25" s="3">
        <v>56</v>
      </c>
    </row>
    <row r="26" spans="1:7" ht="19.8" customHeight="1" x14ac:dyDescent="0.3">
      <c r="A26" s="3" t="s">
        <v>145</v>
      </c>
      <c r="B26" s="3">
        <v>6</v>
      </c>
      <c r="C26" s="3" t="s">
        <v>9</v>
      </c>
      <c r="D26" s="3" t="s">
        <v>68</v>
      </c>
      <c r="E26" s="17" t="s">
        <v>32</v>
      </c>
      <c r="F26" s="3" t="s">
        <v>76</v>
      </c>
      <c r="G26" s="3">
        <v>84</v>
      </c>
    </row>
    <row r="27" spans="1:7" ht="19.8" customHeight="1" x14ac:dyDescent="0.3">
      <c r="A27" s="3" t="s">
        <v>145</v>
      </c>
      <c r="B27" s="3">
        <v>6</v>
      </c>
      <c r="C27" s="3" t="s">
        <v>9</v>
      </c>
      <c r="D27" s="3" t="s">
        <v>66</v>
      </c>
      <c r="E27" s="17" t="s">
        <v>33</v>
      </c>
      <c r="F27" s="3" t="s">
        <v>67</v>
      </c>
      <c r="G27" s="3">
        <v>84</v>
      </c>
    </row>
    <row r="28" spans="1:7" ht="19.8" customHeight="1" x14ac:dyDescent="0.3">
      <c r="A28" s="3" t="s">
        <v>145</v>
      </c>
      <c r="B28" s="3">
        <v>7</v>
      </c>
      <c r="C28" s="3" t="s">
        <v>10</v>
      </c>
      <c r="D28" s="3" t="s">
        <v>68</v>
      </c>
      <c r="E28" s="17" t="s">
        <v>34</v>
      </c>
      <c r="F28" s="3" t="s">
        <v>76</v>
      </c>
      <c r="G28" s="3">
        <v>168</v>
      </c>
    </row>
    <row r="29" spans="1:7" ht="19.8" customHeight="1" x14ac:dyDescent="0.3">
      <c r="A29" s="3" t="s">
        <v>145</v>
      </c>
      <c r="B29" s="3">
        <v>7</v>
      </c>
      <c r="C29" s="3" t="s">
        <v>10</v>
      </c>
      <c r="D29" s="5" t="s">
        <v>66</v>
      </c>
      <c r="E29" s="18" t="s">
        <v>30</v>
      </c>
      <c r="F29" s="5" t="s">
        <v>70</v>
      </c>
      <c r="G29" s="3">
        <v>168</v>
      </c>
    </row>
    <row r="30" spans="1:7" ht="19.8" customHeight="1" x14ac:dyDescent="0.3">
      <c r="A30" s="3" t="s">
        <v>145</v>
      </c>
      <c r="B30" s="3">
        <v>7</v>
      </c>
      <c r="C30" s="3" t="s">
        <v>10</v>
      </c>
      <c r="D30" s="5" t="s">
        <v>69</v>
      </c>
      <c r="E30" s="18" t="s">
        <v>31</v>
      </c>
      <c r="F30" s="5" t="s">
        <v>70</v>
      </c>
      <c r="G30" s="3">
        <v>168</v>
      </c>
    </row>
    <row r="31" spans="1:7" ht="19.8" customHeight="1" x14ac:dyDescent="0.3">
      <c r="A31" s="3" t="s">
        <v>145</v>
      </c>
      <c r="B31" s="3">
        <v>7</v>
      </c>
      <c r="C31" s="3" t="s">
        <v>10</v>
      </c>
      <c r="D31" s="3" t="s">
        <v>3</v>
      </c>
      <c r="E31" s="17" t="s">
        <v>35</v>
      </c>
      <c r="F31" s="3" t="s">
        <v>67</v>
      </c>
      <c r="G31" s="3">
        <v>168</v>
      </c>
    </row>
    <row r="32" spans="1:7" ht="19.8" customHeight="1" x14ac:dyDescent="0.3">
      <c r="A32" s="3" t="s">
        <v>145</v>
      </c>
      <c r="B32" s="3">
        <v>8</v>
      </c>
      <c r="C32" s="3" t="s">
        <v>78</v>
      </c>
      <c r="D32" s="3" t="s">
        <v>68</v>
      </c>
      <c r="E32" s="17" t="s">
        <v>81</v>
      </c>
      <c r="F32" s="3" t="s">
        <v>67</v>
      </c>
      <c r="G32" s="3">
        <v>336</v>
      </c>
    </row>
    <row r="33" spans="1:7" ht="19.8" customHeight="1" x14ac:dyDescent="0.3">
      <c r="A33" s="3" t="s">
        <v>145</v>
      </c>
      <c r="B33" s="9">
        <v>8</v>
      </c>
      <c r="C33" s="3" t="s">
        <v>78</v>
      </c>
      <c r="D33" s="9" t="s">
        <v>66</v>
      </c>
      <c r="E33" s="19" t="s">
        <v>141</v>
      </c>
      <c r="F33" s="9" t="s">
        <v>70</v>
      </c>
      <c r="G33" s="9">
        <v>336</v>
      </c>
    </row>
    <row r="34" spans="1:7" ht="19.8" customHeight="1" x14ac:dyDescent="0.3">
      <c r="A34" s="9"/>
      <c r="B34" s="9"/>
      <c r="C34" s="9"/>
      <c r="D34" s="9"/>
      <c r="E34" s="19"/>
      <c r="F34" s="9"/>
      <c r="G34" s="9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96"/>
  <sheetViews>
    <sheetView zoomScale="90" zoomScaleNormal="80" workbookViewId="0">
      <selection sqref="A1:XFD1048576"/>
    </sheetView>
  </sheetViews>
  <sheetFormatPr baseColWidth="10" defaultRowHeight="16.5" customHeight="1" x14ac:dyDescent="0.3"/>
  <cols>
    <col min="1" max="1" width="12.33203125" style="1" bestFit="1" customWidth="1"/>
    <col min="2" max="2" width="14.5546875" style="1" bestFit="1" customWidth="1"/>
    <col min="3" max="3" width="13.109375" style="1" customWidth="1"/>
    <col min="4" max="4" width="11.21875" style="1" customWidth="1"/>
    <col min="5" max="5" width="57.5546875" style="25" customWidth="1"/>
    <col min="6" max="6" width="13.5546875" style="1" bestFit="1" customWidth="1"/>
    <col min="7" max="7" width="12.88671875" style="1" bestFit="1" customWidth="1"/>
    <col min="8" max="10" width="8.5546875" customWidth="1"/>
    <col min="11" max="11" width="17.109375" customWidth="1"/>
  </cols>
  <sheetData>
    <row r="1" spans="1:7" ht="20.25" customHeight="1" x14ac:dyDescent="0.3">
      <c r="A1" s="1" t="s">
        <v>134</v>
      </c>
      <c r="B1" s="1" t="s">
        <v>140</v>
      </c>
      <c r="C1" s="1" t="s">
        <v>135</v>
      </c>
      <c r="D1" s="1" t="s">
        <v>136</v>
      </c>
      <c r="E1" s="25" t="s">
        <v>137</v>
      </c>
      <c r="F1" s="1" t="s">
        <v>138</v>
      </c>
      <c r="G1" s="1" t="s">
        <v>139</v>
      </c>
    </row>
    <row r="2" spans="1:7" ht="16.5" customHeight="1" x14ac:dyDescent="0.3">
      <c r="A2" s="33" t="s">
        <v>178</v>
      </c>
      <c r="B2" s="34">
        <v>1</v>
      </c>
      <c r="C2" s="34" t="s">
        <v>179</v>
      </c>
      <c r="D2" s="34" t="s">
        <v>68</v>
      </c>
      <c r="E2" s="35" t="s">
        <v>278</v>
      </c>
      <c r="F2" s="34" t="s">
        <v>70</v>
      </c>
      <c r="G2" s="34">
        <v>1</v>
      </c>
    </row>
    <row r="3" spans="1:7" ht="16.5" customHeight="1" x14ac:dyDescent="0.3">
      <c r="A3" s="33" t="s">
        <v>178</v>
      </c>
      <c r="B3" s="34">
        <v>1</v>
      </c>
      <c r="C3" s="34" t="s">
        <v>179</v>
      </c>
      <c r="D3" s="34" t="s">
        <v>66</v>
      </c>
      <c r="E3" s="35" t="s">
        <v>279</v>
      </c>
      <c r="F3" s="34" t="s">
        <v>70</v>
      </c>
      <c r="G3" s="34">
        <v>1</v>
      </c>
    </row>
    <row r="4" spans="1:7" ht="16.5" customHeight="1" x14ac:dyDescent="0.3">
      <c r="A4" s="36" t="s">
        <v>178</v>
      </c>
      <c r="B4" s="37">
        <v>2</v>
      </c>
      <c r="C4" s="37" t="s">
        <v>182</v>
      </c>
      <c r="D4" s="37" t="s">
        <v>69</v>
      </c>
      <c r="E4" s="38" t="s">
        <v>331</v>
      </c>
      <c r="F4" s="37" t="s">
        <v>69</v>
      </c>
      <c r="G4" s="37">
        <v>7</v>
      </c>
    </row>
    <row r="5" spans="1:7" ht="16.5" customHeight="1" x14ac:dyDescent="0.3">
      <c r="A5" s="36" t="s">
        <v>178</v>
      </c>
      <c r="B5" s="37">
        <v>2</v>
      </c>
      <c r="C5" s="37" t="s">
        <v>182</v>
      </c>
      <c r="D5" s="37" t="s">
        <v>66</v>
      </c>
      <c r="E5" s="38" t="s">
        <v>322</v>
      </c>
      <c r="F5" s="37" t="s">
        <v>67</v>
      </c>
      <c r="G5" s="37">
        <v>7</v>
      </c>
    </row>
    <row r="6" spans="1:7" ht="16.5" customHeight="1" x14ac:dyDescent="0.3">
      <c r="A6" s="36" t="s">
        <v>178</v>
      </c>
      <c r="B6" s="37">
        <v>2</v>
      </c>
      <c r="C6" s="37" t="s">
        <v>182</v>
      </c>
      <c r="D6" s="37" t="s">
        <v>68</v>
      </c>
      <c r="E6" s="38" t="s">
        <v>305</v>
      </c>
      <c r="F6" s="37" t="s">
        <v>70</v>
      </c>
      <c r="G6" s="37">
        <v>7</v>
      </c>
    </row>
    <row r="7" spans="1:7" ht="16.5" customHeight="1" x14ac:dyDescent="0.3">
      <c r="A7" s="39" t="s">
        <v>178</v>
      </c>
      <c r="B7" s="40">
        <v>3</v>
      </c>
      <c r="C7" s="40" t="s">
        <v>300</v>
      </c>
      <c r="D7" s="40" t="s">
        <v>66</v>
      </c>
      <c r="E7" s="41" t="s">
        <v>333</v>
      </c>
      <c r="F7" s="40" t="s">
        <v>70</v>
      </c>
      <c r="G7" s="40">
        <v>14</v>
      </c>
    </row>
    <row r="8" spans="1:7" ht="16.5" customHeight="1" x14ac:dyDescent="0.3">
      <c r="A8" s="39" t="s">
        <v>178</v>
      </c>
      <c r="B8" s="40">
        <v>3</v>
      </c>
      <c r="C8" s="40" t="s">
        <v>300</v>
      </c>
      <c r="D8" s="40" t="s">
        <v>68</v>
      </c>
      <c r="E8" s="41" t="s">
        <v>288</v>
      </c>
      <c r="F8" s="40" t="s">
        <v>70</v>
      </c>
      <c r="G8" s="40">
        <v>14</v>
      </c>
    </row>
    <row r="9" spans="1:7" ht="16.5" customHeight="1" x14ac:dyDescent="0.3">
      <c r="A9" s="39" t="s">
        <v>178</v>
      </c>
      <c r="B9" s="40">
        <v>3</v>
      </c>
      <c r="C9" s="40" t="s">
        <v>300</v>
      </c>
      <c r="D9" s="40" t="s">
        <v>69</v>
      </c>
      <c r="E9" s="41" t="s">
        <v>289</v>
      </c>
      <c r="F9" s="40" t="s">
        <v>70</v>
      </c>
      <c r="G9" s="40">
        <v>14</v>
      </c>
    </row>
    <row r="10" spans="1:7" ht="16.5" customHeight="1" x14ac:dyDescent="0.3">
      <c r="A10" s="39" t="s">
        <v>178</v>
      </c>
      <c r="B10" s="40">
        <v>3</v>
      </c>
      <c r="C10" s="40" t="s">
        <v>300</v>
      </c>
      <c r="D10" s="40" t="s">
        <v>70</v>
      </c>
      <c r="E10" s="41" t="s">
        <v>291</v>
      </c>
      <c r="F10" s="40" t="s">
        <v>69</v>
      </c>
      <c r="G10" s="40">
        <v>14</v>
      </c>
    </row>
    <row r="11" spans="1:7" ht="16.5" customHeight="1" x14ac:dyDescent="0.3">
      <c r="A11" s="39" t="s">
        <v>178</v>
      </c>
      <c r="B11" s="40">
        <v>3</v>
      </c>
      <c r="C11" s="40" t="s">
        <v>300</v>
      </c>
      <c r="D11" s="40" t="s">
        <v>2</v>
      </c>
      <c r="E11" s="41" t="s">
        <v>284</v>
      </c>
      <c r="F11" s="40" t="s">
        <v>70</v>
      </c>
      <c r="G11" s="40">
        <v>14</v>
      </c>
    </row>
    <row r="12" spans="1:7" ht="16.5" customHeight="1" x14ac:dyDescent="0.3">
      <c r="A12" s="39" t="s">
        <v>178</v>
      </c>
      <c r="B12" s="40">
        <v>3</v>
      </c>
      <c r="C12" s="40" t="s">
        <v>300</v>
      </c>
      <c r="D12" s="40" t="s">
        <v>73</v>
      </c>
      <c r="E12" s="41" t="s">
        <v>285</v>
      </c>
      <c r="F12" s="40" t="s">
        <v>70</v>
      </c>
      <c r="G12" s="40">
        <v>14</v>
      </c>
    </row>
    <row r="13" spans="1:7" ht="16.5" customHeight="1" x14ac:dyDescent="0.3">
      <c r="A13" s="39" t="s">
        <v>178</v>
      </c>
      <c r="B13" s="40">
        <v>3</v>
      </c>
      <c r="C13" s="40" t="s">
        <v>300</v>
      </c>
      <c r="D13" s="40" t="s">
        <v>71</v>
      </c>
      <c r="E13" s="41" t="s">
        <v>290</v>
      </c>
      <c r="F13" s="40" t="s">
        <v>70</v>
      </c>
      <c r="G13" s="40">
        <v>14</v>
      </c>
    </row>
    <row r="14" spans="1:7" ht="16.5" customHeight="1" x14ac:dyDescent="0.3">
      <c r="A14" s="39" t="s">
        <v>178</v>
      </c>
      <c r="B14" s="40">
        <v>3</v>
      </c>
      <c r="C14" s="40" t="s">
        <v>300</v>
      </c>
      <c r="D14" s="40" t="s">
        <v>72</v>
      </c>
      <c r="E14" s="41" t="s">
        <v>334</v>
      </c>
      <c r="F14" s="40" t="s">
        <v>70</v>
      </c>
      <c r="G14" s="40">
        <v>14</v>
      </c>
    </row>
    <row r="15" spans="1:7" ht="16.5" customHeight="1" x14ac:dyDescent="0.3">
      <c r="A15" s="39" t="s">
        <v>178</v>
      </c>
      <c r="B15" s="40">
        <v>3</v>
      </c>
      <c r="C15" s="40" t="s">
        <v>300</v>
      </c>
      <c r="D15" s="40" t="s">
        <v>75</v>
      </c>
      <c r="E15" s="41" t="s">
        <v>283</v>
      </c>
      <c r="F15" s="40" t="s">
        <v>70</v>
      </c>
      <c r="G15" s="40">
        <v>14</v>
      </c>
    </row>
    <row r="16" spans="1:7" ht="16.5" customHeight="1" x14ac:dyDescent="0.3">
      <c r="A16" s="39" t="s">
        <v>178</v>
      </c>
      <c r="B16" s="40">
        <v>3</v>
      </c>
      <c r="C16" s="40" t="s">
        <v>300</v>
      </c>
      <c r="D16" s="40" t="s">
        <v>74</v>
      </c>
      <c r="E16" s="41" t="s">
        <v>286</v>
      </c>
      <c r="F16" s="40" t="s">
        <v>67</v>
      </c>
      <c r="G16" s="40">
        <v>14</v>
      </c>
    </row>
    <row r="17" spans="1:7" ht="16.5" customHeight="1" x14ac:dyDescent="0.3">
      <c r="A17" s="39" t="s">
        <v>178</v>
      </c>
      <c r="B17" s="40">
        <v>3</v>
      </c>
      <c r="C17" s="40" t="s">
        <v>300</v>
      </c>
      <c r="D17" s="40" t="s">
        <v>0</v>
      </c>
      <c r="E17" s="41" t="s">
        <v>332</v>
      </c>
      <c r="F17" s="40" t="s">
        <v>70</v>
      </c>
      <c r="G17" s="40">
        <v>14</v>
      </c>
    </row>
    <row r="18" spans="1:7" ht="16.5" customHeight="1" x14ac:dyDescent="0.3">
      <c r="A18" s="39" t="s">
        <v>178</v>
      </c>
      <c r="B18" s="40">
        <v>3</v>
      </c>
      <c r="C18" s="40" t="s">
        <v>300</v>
      </c>
      <c r="D18" s="40" t="s">
        <v>3</v>
      </c>
      <c r="E18" s="41" t="s">
        <v>292</v>
      </c>
      <c r="F18" s="40" t="s">
        <v>67</v>
      </c>
      <c r="G18" s="40">
        <v>14</v>
      </c>
    </row>
    <row r="19" spans="1:7" ht="16.5" customHeight="1" x14ac:dyDescent="0.3">
      <c r="A19" s="30" t="s">
        <v>178</v>
      </c>
      <c r="B19" s="31">
        <v>4</v>
      </c>
      <c r="C19" s="31" t="s">
        <v>329</v>
      </c>
      <c r="D19" s="31" t="s">
        <v>3</v>
      </c>
      <c r="E19" s="32" t="s">
        <v>294</v>
      </c>
      <c r="F19" s="31" t="s">
        <v>70</v>
      </c>
      <c r="G19" s="31">
        <v>28</v>
      </c>
    </row>
    <row r="20" spans="1:7" ht="16.5" customHeight="1" x14ac:dyDescent="0.3">
      <c r="A20" s="30" t="s">
        <v>178</v>
      </c>
      <c r="B20" s="31">
        <v>4</v>
      </c>
      <c r="C20" s="31" t="s">
        <v>329</v>
      </c>
      <c r="D20" s="31" t="s">
        <v>70</v>
      </c>
      <c r="E20" s="32" t="s">
        <v>295</v>
      </c>
      <c r="F20" s="31" t="s">
        <v>67</v>
      </c>
      <c r="G20" s="31">
        <v>28</v>
      </c>
    </row>
    <row r="21" spans="1:7" ht="16.5" customHeight="1" x14ac:dyDescent="0.3">
      <c r="A21" s="30" t="s">
        <v>178</v>
      </c>
      <c r="B21" s="31">
        <v>4</v>
      </c>
      <c r="C21" s="31" t="s">
        <v>329</v>
      </c>
      <c r="D21" s="31" t="s">
        <v>72</v>
      </c>
      <c r="E21" s="32" t="s">
        <v>324</v>
      </c>
      <c r="F21" s="31" t="s">
        <v>67</v>
      </c>
      <c r="G21" s="31">
        <v>28</v>
      </c>
    </row>
    <row r="22" spans="1:7" ht="16.5" customHeight="1" x14ac:dyDescent="0.3">
      <c r="A22" s="30" t="s">
        <v>178</v>
      </c>
      <c r="B22" s="31">
        <v>4</v>
      </c>
      <c r="C22" s="31" t="s">
        <v>329</v>
      </c>
      <c r="D22" s="31" t="s">
        <v>68</v>
      </c>
      <c r="E22" s="32" t="s">
        <v>296</v>
      </c>
      <c r="F22" s="31" t="s">
        <v>67</v>
      </c>
      <c r="G22" s="31">
        <v>28</v>
      </c>
    </row>
    <row r="23" spans="1:7" ht="16.5" customHeight="1" x14ac:dyDescent="0.3">
      <c r="A23" s="30" t="s">
        <v>178</v>
      </c>
      <c r="B23" s="31">
        <v>4</v>
      </c>
      <c r="C23" s="31" t="s">
        <v>329</v>
      </c>
      <c r="D23" s="31" t="s">
        <v>66</v>
      </c>
      <c r="E23" s="32" t="s">
        <v>298</v>
      </c>
      <c r="F23" s="31" t="s">
        <v>67</v>
      </c>
      <c r="G23" s="31">
        <v>28</v>
      </c>
    </row>
    <row r="24" spans="1:7" ht="16.5" customHeight="1" x14ac:dyDescent="0.3">
      <c r="A24" s="30" t="s">
        <v>178</v>
      </c>
      <c r="B24" s="31">
        <v>4</v>
      </c>
      <c r="C24" s="31" t="s">
        <v>329</v>
      </c>
      <c r="D24" s="31" t="s">
        <v>71</v>
      </c>
      <c r="E24" s="32" t="s">
        <v>323</v>
      </c>
      <c r="F24" s="31" t="s">
        <v>67</v>
      </c>
      <c r="G24" s="31">
        <v>28</v>
      </c>
    </row>
    <row r="25" spans="1:7" ht="16.5" customHeight="1" x14ac:dyDescent="0.3">
      <c r="A25" s="30" t="s">
        <v>178</v>
      </c>
      <c r="B25" s="31">
        <v>4</v>
      </c>
      <c r="C25" s="31" t="s">
        <v>329</v>
      </c>
      <c r="D25" s="31" t="s">
        <v>69</v>
      </c>
      <c r="E25" s="32" t="s">
        <v>297</v>
      </c>
      <c r="F25" s="31" t="s">
        <v>70</v>
      </c>
      <c r="G25" s="31">
        <v>28</v>
      </c>
    </row>
    <row r="26" spans="1:7" ht="16.5" customHeight="1" x14ac:dyDescent="0.3">
      <c r="A26" s="27" t="s">
        <v>178</v>
      </c>
      <c r="B26" s="28">
        <v>5</v>
      </c>
      <c r="C26" s="28" t="s">
        <v>325</v>
      </c>
      <c r="D26" s="28" t="s">
        <v>68</v>
      </c>
      <c r="E26" s="29" t="s">
        <v>321</v>
      </c>
      <c r="F26" s="28" t="s">
        <v>67</v>
      </c>
      <c r="G26" s="28">
        <v>56</v>
      </c>
    </row>
    <row r="27" spans="1:7" ht="16.5" customHeight="1" x14ac:dyDescent="0.3">
      <c r="A27" s="27" t="s">
        <v>178</v>
      </c>
      <c r="B27" s="28">
        <v>5</v>
      </c>
      <c r="C27" s="28" t="s">
        <v>325</v>
      </c>
      <c r="D27" s="28" t="s">
        <v>69</v>
      </c>
      <c r="E27" s="29" t="s">
        <v>330</v>
      </c>
      <c r="F27" s="28" t="s">
        <v>67</v>
      </c>
      <c r="G27" s="28">
        <v>56</v>
      </c>
    </row>
    <row r="28" spans="1:7" ht="16.5" customHeight="1" x14ac:dyDescent="0.3">
      <c r="A28" s="27" t="s">
        <v>178</v>
      </c>
      <c r="B28" s="28">
        <v>5</v>
      </c>
      <c r="C28" s="28" t="s">
        <v>325</v>
      </c>
      <c r="D28" s="28" t="s">
        <v>66</v>
      </c>
      <c r="E28" s="29" t="s">
        <v>326</v>
      </c>
      <c r="F28" s="28" t="s">
        <v>76</v>
      </c>
      <c r="G28" s="28">
        <v>56</v>
      </c>
    </row>
    <row r="29" spans="1:7" ht="16.5" customHeight="1" x14ac:dyDescent="0.3">
      <c r="A29" s="20" t="s">
        <v>178</v>
      </c>
      <c r="B29" s="1">
        <v>6</v>
      </c>
      <c r="C29" s="1" t="s">
        <v>301</v>
      </c>
      <c r="D29" s="1" t="s">
        <v>68</v>
      </c>
      <c r="E29" s="25" t="s">
        <v>299</v>
      </c>
      <c r="F29" s="1" t="s">
        <v>70</v>
      </c>
      <c r="G29" s="1">
        <v>84</v>
      </c>
    </row>
    <row r="96" spans="6:7" ht="16.5" customHeight="1" x14ac:dyDescent="0.3">
      <c r="F96"/>
      <c r="G96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67"/>
  <sheetViews>
    <sheetView topLeftCell="A21" zoomScale="80" zoomScaleNormal="80" workbookViewId="0">
      <selection activeCell="B2" sqref="B2:I67"/>
    </sheetView>
  </sheetViews>
  <sheetFormatPr baseColWidth="10" defaultRowHeight="14.4" x14ac:dyDescent="0.3"/>
  <cols>
    <col min="1" max="1" width="20" customWidth="1"/>
    <col min="2" max="2" width="20" style="1" customWidth="1"/>
    <col min="3" max="3" width="20" customWidth="1"/>
    <col min="5" max="7" width="53.109375" customWidth="1"/>
    <col min="8" max="9" width="4.88671875" customWidth="1"/>
  </cols>
  <sheetData>
    <row r="1" spans="1:9" x14ac:dyDescent="0.3">
      <c r="E1" t="s">
        <v>277</v>
      </c>
      <c r="F1" t="s">
        <v>276</v>
      </c>
      <c r="G1" t="s">
        <v>303</v>
      </c>
    </row>
    <row r="2" spans="1:9" x14ac:dyDescent="0.3">
      <c r="A2" t="s">
        <v>178</v>
      </c>
      <c r="B2" s="1">
        <v>1</v>
      </c>
      <c r="C2" t="s">
        <v>179</v>
      </c>
      <c r="D2" t="s">
        <v>68</v>
      </c>
      <c r="E2" t="s">
        <v>278</v>
      </c>
      <c r="F2" t="s">
        <v>180</v>
      </c>
      <c r="G2" t="s">
        <v>304</v>
      </c>
      <c r="H2" t="s">
        <v>70</v>
      </c>
      <c r="I2">
        <v>1</v>
      </c>
    </row>
    <row r="3" spans="1:9" x14ac:dyDescent="0.3">
      <c r="A3" t="s">
        <v>178</v>
      </c>
      <c r="B3" s="1">
        <v>1</v>
      </c>
      <c r="C3" t="s">
        <v>179</v>
      </c>
      <c r="D3" t="s">
        <v>66</v>
      </c>
      <c r="E3" t="s">
        <v>279</v>
      </c>
      <c r="F3" t="s">
        <v>181</v>
      </c>
      <c r="G3" t="s">
        <v>279</v>
      </c>
      <c r="H3" t="s">
        <v>70</v>
      </c>
      <c r="I3">
        <v>1</v>
      </c>
    </row>
    <row r="4" spans="1:9" x14ac:dyDescent="0.3">
      <c r="A4" t="s">
        <v>178</v>
      </c>
      <c r="B4" s="1">
        <v>2</v>
      </c>
      <c r="C4" t="s">
        <v>182</v>
      </c>
      <c r="D4" t="s">
        <v>68</v>
      </c>
      <c r="E4" t="s">
        <v>305</v>
      </c>
      <c r="F4" t="s">
        <v>183</v>
      </c>
      <c r="G4" t="s">
        <v>280</v>
      </c>
      <c r="H4" t="s">
        <v>70</v>
      </c>
      <c r="I4">
        <v>7</v>
      </c>
    </row>
    <row r="5" spans="1:9" x14ac:dyDescent="0.3">
      <c r="B5" s="1">
        <v>2</v>
      </c>
      <c r="C5" t="s">
        <v>182</v>
      </c>
      <c r="D5" t="s">
        <v>66</v>
      </c>
      <c r="E5" s="22" t="s">
        <v>322</v>
      </c>
    </row>
    <row r="6" spans="1:9" x14ac:dyDescent="0.3">
      <c r="B6" s="1">
        <v>2</v>
      </c>
      <c r="C6" t="s">
        <v>182</v>
      </c>
      <c r="D6" t="s">
        <v>69</v>
      </c>
      <c r="E6" s="22" t="s">
        <v>331</v>
      </c>
    </row>
    <row r="7" spans="1:9" x14ac:dyDescent="0.3">
      <c r="A7" t="s">
        <v>178</v>
      </c>
      <c r="B7" s="1">
        <v>3</v>
      </c>
      <c r="C7" t="s">
        <v>300</v>
      </c>
      <c r="D7" t="s">
        <v>68</v>
      </c>
      <c r="E7" t="s">
        <v>288</v>
      </c>
      <c r="F7" s="21" t="s">
        <v>184</v>
      </c>
      <c r="G7" t="s">
        <v>306</v>
      </c>
      <c r="H7" t="s">
        <v>70</v>
      </c>
      <c r="I7">
        <v>14</v>
      </c>
    </row>
    <row r="8" spans="1:9" x14ac:dyDescent="0.3">
      <c r="A8" t="s">
        <v>178</v>
      </c>
      <c r="B8" s="1">
        <v>3</v>
      </c>
      <c r="C8" t="s">
        <v>300</v>
      </c>
      <c r="D8" t="s">
        <v>66</v>
      </c>
      <c r="E8" t="s">
        <v>287</v>
      </c>
      <c r="F8" s="21" t="s">
        <v>185</v>
      </c>
      <c r="G8" s="21" t="s">
        <v>307</v>
      </c>
      <c r="H8" t="s">
        <v>70</v>
      </c>
      <c r="I8">
        <v>14</v>
      </c>
    </row>
    <row r="9" spans="1:9" x14ac:dyDescent="0.3">
      <c r="A9" t="s">
        <v>178</v>
      </c>
      <c r="B9" s="1">
        <v>3</v>
      </c>
      <c r="C9" t="s">
        <v>300</v>
      </c>
      <c r="D9" t="s">
        <v>69</v>
      </c>
      <c r="E9" t="s">
        <v>289</v>
      </c>
      <c r="F9" t="s">
        <v>186</v>
      </c>
      <c r="G9" t="s">
        <v>308</v>
      </c>
      <c r="H9" t="s">
        <v>70</v>
      </c>
      <c r="I9">
        <v>14</v>
      </c>
    </row>
    <row r="10" spans="1:9" x14ac:dyDescent="0.3">
      <c r="A10" t="s">
        <v>178</v>
      </c>
      <c r="B10" s="1">
        <v>3</v>
      </c>
      <c r="C10" t="s">
        <v>300</v>
      </c>
      <c r="D10" t="s">
        <v>3</v>
      </c>
      <c r="E10" t="s">
        <v>292</v>
      </c>
      <c r="F10" s="21" t="s">
        <v>187</v>
      </c>
      <c r="G10" t="s">
        <v>309</v>
      </c>
      <c r="H10" t="s">
        <v>188</v>
      </c>
      <c r="I10">
        <v>14</v>
      </c>
    </row>
    <row r="11" spans="1:9" x14ac:dyDescent="0.3">
      <c r="A11" t="s">
        <v>178</v>
      </c>
      <c r="B11" s="1">
        <v>3</v>
      </c>
      <c r="C11" t="s">
        <v>300</v>
      </c>
      <c r="D11" t="s">
        <v>70</v>
      </c>
      <c r="E11" t="s">
        <v>291</v>
      </c>
      <c r="F11" s="21" t="s">
        <v>189</v>
      </c>
      <c r="G11" t="s">
        <v>310</v>
      </c>
      <c r="H11" t="s">
        <v>69</v>
      </c>
      <c r="I11">
        <v>14</v>
      </c>
    </row>
    <row r="12" spans="1:9" x14ac:dyDescent="0.3">
      <c r="A12" t="s">
        <v>178</v>
      </c>
      <c r="B12" s="1">
        <v>3</v>
      </c>
      <c r="C12" t="s">
        <v>300</v>
      </c>
      <c r="D12" t="s">
        <v>71</v>
      </c>
      <c r="E12" t="s">
        <v>290</v>
      </c>
      <c r="F12" s="21" t="s">
        <v>190</v>
      </c>
      <c r="G12" t="s">
        <v>311</v>
      </c>
      <c r="H12" t="s">
        <v>70</v>
      </c>
      <c r="I12">
        <v>14</v>
      </c>
    </row>
    <row r="13" spans="1:9" x14ac:dyDescent="0.3">
      <c r="A13" t="s">
        <v>178</v>
      </c>
      <c r="B13" s="1">
        <v>3</v>
      </c>
      <c r="C13" t="s">
        <v>300</v>
      </c>
      <c r="D13" t="s">
        <v>72</v>
      </c>
      <c r="E13" t="s">
        <v>293</v>
      </c>
      <c r="F13" t="s">
        <v>191</v>
      </c>
      <c r="G13" t="s">
        <v>312</v>
      </c>
      <c r="H13" t="s">
        <v>70</v>
      </c>
      <c r="I13">
        <v>14</v>
      </c>
    </row>
    <row r="14" spans="1:9" x14ac:dyDescent="0.3">
      <c r="A14" t="s">
        <v>178</v>
      </c>
      <c r="B14" s="1">
        <v>3</v>
      </c>
      <c r="C14" t="s">
        <v>300</v>
      </c>
      <c r="D14" t="s">
        <v>73</v>
      </c>
      <c r="E14" t="s">
        <v>285</v>
      </c>
      <c r="F14" t="s">
        <v>275</v>
      </c>
      <c r="G14" t="s">
        <v>313</v>
      </c>
      <c r="H14" t="s">
        <v>70</v>
      </c>
      <c r="I14">
        <v>14</v>
      </c>
    </row>
    <row r="15" spans="1:9" x14ac:dyDescent="0.3">
      <c r="A15" t="s">
        <v>178</v>
      </c>
      <c r="B15" s="1">
        <v>3</v>
      </c>
      <c r="C15" t="s">
        <v>300</v>
      </c>
      <c r="D15" t="s">
        <v>74</v>
      </c>
      <c r="E15" t="s">
        <v>286</v>
      </c>
      <c r="F15" t="s">
        <v>192</v>
      </c>
      <c r="G15" t="s">
        <v>314</v>
      </c>
      <c r="H15" t="s">
        <v>67</v>
      </c>
      <c r="I15">
        <v>14</v>
      </c>
    </row>
    <row r="16" spans="1:9" x14ac:dyDescent="0.3">
      <c r="A16" t="s">
        <v>178</v>
      </c>
      <c r="B16" s="1">
        <v>3</v>
      </c>
      <c r="C16" t="s">
        <v>300</v>
      </c>
      <c r="D16" t="s">
        <v>2</v>
      </c>
      <c r="E16" t="s">
        <v>284</v>
      </c>
      <c r="F16" t="s">
        <v>193</v>
      </c>
      <c r="G16" t="s">
        <v>315</v>
      </c>
      <c r="H16" t="s">
        <v>70</v>
      </c>
      <c r="I16">
        <v>14</v>
      </c>
    </row>
    <row r="17" spans="1:9" x14ac:dyDescent="0.3">
      <c r="A17" t="s">
        <v>178</v>
      </c>
      <c r="B17" s="1">
        <v>3</v>
      </c>
      <c r="C17" t="s">
        <v>300</v>
      </c>
      <c r="D17" t="s">
        <v>75</v>
      </c>
      <c r="E17" t="s">
        <v>283</v>
      </c>
      <c r="F17" t="s">
        <v>194</v>
      </c>
      <c r="G17" t="s">
        <v>316</v>
      </c>
      <c r="H17" t="s">
        <v>70</v>
      </c>
      <c r="I17">
        <v>14</v>
      </c>
    </row>
    <row r="18" spans="1:9" x14ac:dyDescent="0.3">
      <c r="A18" t="s">
        <v>178</v>
      </c>
      <c r="B18" s="1">
        <v>3</v>
      </c>
      <c r="C18" t="s">
        <v>300</v>
      </c>
      <c r="D18" t="s">
        <v>0</v>
      </c>
      <c r="E18" t="s">
        <v>282</v>
      </c>
      <c r="F18" t="s">
        <v>195</v>
      </c>
      <c r="G18" t="s">
        <v>317</v>
      </c>
      <c r="H18" t="s">
        <v>70</v>
      </c>
      <c r="I18">
        <v>14</v>
      </c>
    </row>
    <row r="19" spans="1:9" x14ac:dyDescent="0.3">
      <c r="A19" t="s">
        <v>178</v>
      </c>
      <c r="B19" s="1">
        <v>4</v>
      </c>
      <c r="C19" t="s">
        <v>329</v>
      </c>
      <c r="D19" t="s">
        <v>68</v>
      </c>
      <c r="E19" t="s">
        <v>296</v>
      </c>
      <c r="F19" t="s">
        <v>177</v>
      </c>
      <c r="G19" t="s">
        <v>318</v>
      </c>
      <c r="H19" t="s">
        <v>67</v>
      </c>
      <c r="I19">
        <v>28</v>
      </c>
    </row>
    <row r="20" spans="1:9" x14ac:dyDescent="0.3">
      <c r="A20" t="s">
        <v>178</v>
      </c>
      <c r="B20" s="1">
        <v>4</v>
      </c>
      <c r="C20" t="s">
        <v>329</v>
      </c>
      <c r="D20" t="s">
        <v>66</v>
      </c>
      <c r="E20" t="s">
        <v>298</v>
      </c>
      <c r="F20" t="s">
        <v>196</v>
      </c>
      <c r="G20" t="s">
        <v>319</v>
      </c>
      <c r="H20" t="s">
        <v>67</v>
      </c>
      <c r="I20">
        <v>28</v>
      </c>
    </row>
    <row r="21" spans="1:9" x14ac:dyDescent="0.3">
      <c r="A21" t="s">
        <v>178</v>
      </c>
      <c r="B21" s="1">
        <v>4</v>
      </c>
      <c r="C21" t="s">
        <v>329</v>
      </c>
      <c r="D21" t="s">
        <v>69</v>
      </c>
      <c r="E21" t="s">
        <v>297</v>
      </c>
      <c r="F21" t="s">
        <v>197</v>
      </c>
      <c r="G21" t="s">
        <v>297</v>
      </c>
      <c r="H21" t="s">
        <v>70</v>
      </c>
      <c r="I21">
        <v>28</v>
      </c>
    </row>
    <row r="22" spans="1:9" x14ac:dyDescent="0.3">
      <c r="A22" t="s">
        <v>178</v>
      </c>
      <c r="B22" s="1">
        <v>4</v>
      </c>
      <c r="C22" t="s">
        <v>329</v>
      </c>
      <c r="D22" t="s">
        <v>3</v>
      </c>
      <c r="E22" t="s">
        <v>294</v>
      </c>
      <c r="F22" t="s">
        <v>198</v>
      </c>
      <c r="G22" t="s">
        <v>320</v>
      </c>
      <c r="H22" t="s">
        <v>70</v>
      </c>
      <c r="I22">
        <v>28</v>
      </c>
    </row>
    <row r="23" spans="1:9" x14ac:dyDescent="0.3">
      <c r="A23" t="s">
        <v>178</v>
      </c>
      <c r="B23" s="1">
        <v>4</v>
      </c>
      <c r="C23" t="s">
        <v>329</v>
      </c>
      <c r="D23" t="s">
        <v>70</v>
      </c>
      <c r="E23" t="s">
        <v>295</v>
      </c>
      <c r="F23" t="s">
        <v>199</v>
      </c>
      <c r="G23" t="s">
        <v>295</v>
      </c>
      <c r="H23" t="s">
        <v>67</v>
      </c>
      <c r="I23">
        <v>28</v>
      </c>
    </row>
    <row r="24" spans="1:9" x14ac:dyDescent="0.3">
      <c r="B24" s="1">
        <v>4</v>
      </c>
      <c r="C24" t="s">
        <v>329</v>
      </c>
      <c r="D24" t="s">
        <v>71</v>
      </c>
      <c r="E24" s="22" t="s">
        <v>323</v>
      </c>
    </row>
    <row r="25" spans="1:9" x14ac:dyDescent="0.3">
      <c r="B25" s="1">
        <v>4</v>
      </c>
      <c r="C25" t="s">
        <v>329</v>
      </c>
      <c r="D25" t="s">
        <v>72</v>
      </c>
      <c r="E25" s="22" t="s">
        <v>324</v>
      </c>
    </row>
    <row r="26" spans="1:9" x14ac:dyDescent="0.3">
      <c r="B26" s="1">
        <v>5</v>
      </c>
      <c r="C26" t="s">
        <v>325</v>
      </c>
      <c r="D26" t="s">
        <v>68</v>
      </c>
      <c r="E26" s="22" t="s">
        <v>321</v>
      </c>
    </row>
    <row r="27" spans="1:9" x14ac:dyDescent="0.3">
      <c r="B27" s="1">
        <v>5</v>
      </c>
      <c r="C27" t="s">
        <v>325</v>
      </c>
      <c r="D27" t="s">
        <v>66</v>
      </c>
      <c r="E27" s="22" t="s">
        <v>326</v>
      </c>
    </row>
    <row r="28" spans="1:9" x14ac:dyDescent="0.3">
      <c r="B28" s="1">
        <v>5</v>
      </c>
      <c r="C28" t="s">
        <v>325</v>
      </c>
      <c r="D28" t="s">
        <v>69</v>
      </c>
      <c r="E28" s="22" t="s">
        <v>330</v>
      </c>
    </row>
    <row r="29" spans="1:9" x14ac:dyDescent="0.3">
      <c r="A29" t="s">
        <v>178</v>
      </c>
      <c r="B29" s="1">
        <v>6</v>
      </c>
      <c r="C29" t="s">
        <v>301</v>
      </c>
      <c r="D29" t="s">
        <v>68</v>
      </c>
      <c r="E29" t="s">
        <v>299</v>
      </c>
      <c r="F29" t="s">
        <v>200</v>
      </c>
      <c r="G29" t="s">
        <v>281</v>
      </c>
      <c r="H29" t="s">
        <v>70</v>
      </c>
      <c r="I29">
        <v>84</v>
      </c>
    </row>
    <row r="30" spans="1:9" x14ac:dyDescent="0.3">
      <c r="B30" s="1">
        <v>7</v>
      </c>
      <c r="C30" t="s">
        <v>327</v>
      </c>
      <c r="D30" t="s">
        <v>68</v>
      </c>
      <c r="E30" s="22" t="s">
        <v>328</v>
      </c>
    </row>
    <row r="31" spans="1:9" x14ac:dyDescent="0.3">
      <c r="A31" t="s">
        <v>178</v>
      </c>
      <c r="B31" s="1">
        <v>8</v>
      </c>
      <c r="C31" t="s">
        <v>302</v>
      </c>
      <c r="D31" t="s">
        <v>201</v>
      </c>
      <c r="F31" t="s">
        <v>202</v>
      </c>
      <c r="H31" t="s">
        <v>70</v>
      </c>
      <c r="I31">
        <v>84</v>
      </c>
    </row>
    <row r="32" spans="1:9" x14ac:dyDescent="0.3">
      <c r="A32" t="s">
        <v>178</v>
      </c>
      <c r="B32" s="1">
        <v>8</v>
      </c>
      <c r="C32" t="s">
        <v>302</v>
      </c>
      <c r="D32" t="s">
        <v>203</v>
      </c>
      <c r="F32" t="s">
        <v>204</v>
      </c>
      <c r="H32" t="s">
        <v>70</v>
      </c>
      <c r="I32">
        <v>84</v>
      </c>
    </row>
    <row r="33" spans="1:9" x14ac:dyDescent="0.3">
      <c r="A33" t="s">
        <v>178</v>
      </c>
      <c r="B33" s="1">
        <v>8</v>
      </c>
      <c r="C33" t="s">
        <v>302</v>
      </c>
      <c r="D33" t="s">
        <v>205</v>
      </c>
      <c r="F33" t="s">
        <v>206</v>
      </c>
      <c r="H33" t="s">
        <v>70</v>
      </c>
      <c r="I33">
        <v>56</v>
      </c>
    </row>
    <row r="34" spans="1:9" x14ac:dyDescent="0.3">
      <c r="A34" t="s">
        <v>178</v>
      </c>
      <c r="B34" s="1">
        <v>8</v>
      </c>
      <c r="C34" t="s">
        <v>302</v>
      </c>
      <c r="D34" t="s">
        <v>207</v>
      </c>
      <c r="F34" t="s">
        <v>208</v>
      </c>
      <c r="H34" t="s">
        <v>70</v>
      </c>
      <c r="I34">
        <v>56</v>
      </c>
    </row>
    <row r="35" spans="1:9" x14ac:dyDescent="0.3">
      <c r="A35" t="s">
        <v>178</v>
      </c>
      <c r="B35" s="1">
        <v>8</v>
      </c>
      <c r="C35" t="s">
        <v>302</v>
      </c>
      <c r="D35" t="s">
        <v>209</v>
      </c>
      <c r="F35" t="s">
        <v>210</v>
      </c>
      <c r="H35" t="s">
        <v>70</v>
      </c>
      <c r="I35">
        <v>84</v>
      </c>
    </row>
    <row r="36" spans="1:9" x14ac:dyDescent="0.3">
      <c r="A36" t="s">
        <v>178</v>
      </c>
      <c r="B36" s="1">
        <v>8</v>
      </c>
      <c r="C36" t="s">
        <v>302</v>
      </c>
      <c r="D36" t="s">
        <v>211</v>
      </c>
      <c r="F36" t="s">
        <v>212</v>
      </c>
      <c r="H36" t="s">
        <v>70</v>
      </c>
      <c r="I36">
        <v>84</v>
      </c>
    </row>
    <row r="37" spans="1:9" x14ac:dyDescent="0.3">
      <c r="A37" t="s">
        <v>178</v>
      </c>
      <c r="B37" s="1">
        <v>8</v>
      </c>
      <c r="C37" t="s">
        <v>302</v>
      </c>
      <c r="D37" t="s">
        <v>213</v>
      </c>
      <c r="F37" t="s">
        <v>214</v>
      </c>
      <c r="H37" t="s">
        <v>70</v>
      </c>
      <c r="I37">
        <v>84</v>
      </c>
    </row>
    <row r="38" spans="1:9" x14ac:dyDescent="0.3">
      <c r="A38" t="s">
        <v>178</v>
      </c>
      <c r="B38" s="1">
        <v>8</v>
      </c>
      <c r="C38" t="s">
        <v>302</v>
      </c>
      <c r="D38" t="s">
        <v>215</v>
      </c>
      <c r="F38" t="s">
        <v>216</v>
      </c>
      <c r="H38" t="s">
        <v>70</v>
      </c>
      <c r="I38">
        <v>84</v>
      </c>
    </row>
    <row r="39" spans="1:9" x14ac:dyDescent="0.3">
      <c r="A39" t="s">
        <v>178</v>
      </c>
      <c r="B39" s="1">
        <v>8</v>
      </c>
      <c r="C39" t="s">
        <v>302</v>
      </c>
      <c r="D39" t="s">
        <v>217</v>
      </c>
      <c r="F39" t="s">
        <v>218</v>
      </c>
      <c r="H39" t="s">
        <v>70</v>
      </c>
      <c r="I39">
        <v>84</v>
      </c>
    </row>
    <row r="40" spans="1:9" x14ac:dyDescent="0.3">
      <c r="A40" t="s">
        <v>178</v>
      </c>
      <c r="B40" s="1">
        <v>8</v>
      </c>
      <c r="C40" t="s">
        <v>302</v>
      </c>
      <c r="D40" t="s">
        <v>219</v>
      </c>
      <c r="F40" t="s">
        <v>220</v>
      </c>
      <c r="H40" t="s">
        <v>70</v>
      </c>
      <c r="I40">
        <v>84</v>
      </c>
    </row>
    <row r="41" spans="1:9" x14ac:dyDescent="0.3">
      <c r="A41" t="s">
        <v>178</v>
      </c>
      <c r="B41" s="1">
        <v>8</v>
      </c>
      <c r="C41" t="s">
        <v>302</v>
      </c>
      <c r="D41" t="s">
        <v>221</v>
      </c>
      <c r="F41" t="s">
        <v>222</v>
      </c>
      <c r="H41" t="s">
        <v>70</v>
      </c>
      <c r="I41">
        <v>84</v>
      </c>
    </row>
    <row r="42" spans="1:9" x14ac:dyDescent="0.3">
      <c r="A42" t="s">
        <v>178</v>
      </c>
      <c r="B42" s="1">
        <v>8</v>
      </c>
      <c r="C42" t="s">
        <v>302</v>
      </c>
      <c r="D42" t="s">
        <v>223</v>
      </c>
      <c r="F42" t="s">
        <v>224</v>
      </c>
      <c r="H42" t="s">
        <v>70</v>
      </c>
      <c r="I42">
        <v>84</v>
      </c>
    </row>
    <row r="43" spans="1:9" x14ac:dyDescent="0.3">
      <c r="A43" t="s">
        <v>178</v>
      </c>
      <c r="B43" s="1">
        <v>8</v>
      </c>
      <c r="C43" t="s">
        <v>302</v>
      </c>
      <c r="D43" t="s">
        <v>225</v>
      </c>
      <c r="F43" t="s">
        <v>226</v>
      </c>
      <c r="H43" t="s">
        <v>70</v>
      </c>
      <c r="I43">
        <v>84</v>
      </c>
    </row>
    <row r="44" spans="1:9" x14ac:dyDescent="0.3">
      <c r="A44" t="s">
        <v>178</v>
      </c>
      <c r="B44" s="1">
        <v>8</v>
      </c>
      <c r="C44" t="s">
        <v>302</v>
      </c>
      <c r="D44" t="s">
        <v>227</v>
      </c>
      <c r="F44" t="s">
        <v>228</v>
      </c>
      <c r="H44" t="s">
        <v>70</v>
      </c>
      <c r="I44">
        <v>84</v>
      </c>
    </row>
    <row r="45" spans="1:9" x14ac:dyDescent="0.3">
      <c r="A45" t="s">
        <v>178</v>
      </c>
      <c r="B45" s="1">
        <v>8</v>
      </c>
      <c r="C45" t="s">
        <v>302</v>
      </c>
      <c r="D45" t="s">
        <v>229</v>
      </c>
      <c r="F45" t="s">
        <v>230</v>
      </c>
      <c r="H45" t="s">
        <v>70</v>
      </c>
      <c r="I45">
        <v>84</v>
      </c>
    </row>
    <row r="46" spans="1:9" x14ac:dyDescent="0.3">
      <c r="A46" t="s">
        <v>178</v>
      </c>
      <c r="B46" s="1">
        <v>8</v>
      </c>
      <c r="C46" t="s">
        <v>302</v>
      </c>
      <c r="D46" t="s">
        <v>231</v>
      </c>
      <c r="F46" t="s">
        <v>232</v>
      </c>
      <c r="H46" t="s">
        <v>70</v>
      </c>
      <c r="I46">
        <v>84</v>
      </c>
    </row>
    <row r="47" spans="1:9" x14ac:dyDescent="0.3">
      <c r="A47" t="s">
        <v>178</v>
      </c>
      <c r="B47" s="1">
        <v>8</v>
      </c>
      <c r="C47" t="s">
        <v>302</v>
      </c>
      <c r="D47" t="s">
        <v>233</v>
      </c>
      <c r="F47" t="s">
        <v>234</v>
      </c>
      <c r="H47" t="s">
        <v>70</v>
      </c>
      <c r="I47">
        <v>56</v>
      </c>
    </row>
    <row r="48" spans="1:9" x14ac:dyDescent="0.3">
      <c r="A48" t="s">
        <v>178</v>
      </c>
      <c r="B48" s="1">
        <v>8</v>
      </c>
      <c r="C48" t="s">
        <v>302</v>
      </c>
      <c r="D48" t="s">
        <v>235</v>
      </c>
      <c r="F48" t="s">
        <v>236</v>
      </c>
      <c r="H48" t="s">
        <v>70</v>
      </c>
      <c r="I48">
        <v>84</v>
      </c>
    </row>
    <row r="49" spans="1:9" x14ac:dyDescent="0.3">
      <c r="A49" t="s">
        <v>178</v>
      </c>
      <c r="B49" s="1">
        <v>8</v>
      </c>
      <c r="C49" t="s">
        <v>302</v>
      </c>
      <c r="D49" t="s">
        <v>237</v>
      </c>
      <c r="F49" t="s">
        <v>238</v>
      </c>
      <c r="H49" t="s">
        <v>70</v>
      </c>
      <c r="I49">
        <v>84</v>
      </c>
    </row>
    <row r="50" spans="1:9" x14ac:dyDescent="0.3">
      <c r="A50" t="s">
        <v>178</v>
      </c>
      <c r="B50" s="1">
        <v>8</v>
      </c>
      <c r="C50" t="s">
        <v>302</v>
      </c>
      <c r="D50" t="s">
        <v>239</v>
      </c>
      <c r="F50" t="s">
        <v>240</v>
      </c>
      <c r="H50" t="s">
        <v>70</v>
      </c>
      <c r="I50">
        <v>84</v>
      </c>
    </row>
    <row r="51" spans="1:9" x14ac:dyDescent="0.3">
      <c r="A51" t="s">
        <v>178</v>
      </c>
      <c r="B51" s="1">
        <v>8</v>
      </c>
      <c r="C51" t="s">
        <v>302</v>
      </c>
      <c r="D51" t="s">
        <v>241</v>
      </c>
      <c r="F51" t="s">
        <v>242</v>
      </c>
      <c r="H51" t="s">
        <v>70</v>
      </c>
      <c r="I51">
        <v>84</v>
      </c>
    </row>
    <row r="52" spans="1:9" x14ac:dyDescent="0.3">
      <c r="A52" t="s">
        <v>178</v>
      </c>
      <c r="B52" s="1">
        <v>8</v>
      </c>
      <c r="C52" t="s">
        <v>302</v>
      </c>
      <c r="D52" t="s">
        <v>243</v>
      </c>
      <c r="F52" t="s">
        <v>244</v>
      </c>
      <c r="H52" t="s">
        <v>70</v>
      </c>
      <c r="I52">
        <v>84</v>
      </c>
    </row>
    <row r="53" spans="1:9" x14ac:dyDescent="0.3">
      <c r="A53" t="s">
        <v>178</v>
      </c>
      <c r="B53" s="1">
        <v>8</v>
      </c>
      <c r="C53" t="s">
        <v>302</v>
      </c>
      <c r="D53" t="s">
        <v>245</v>
      </c>
      <c r="F53" t="s">
        <v>246</v>
      </c>
      <c r="H53" t="s">
        <v>70</v>
      </c>
      <c r="I53">
        <v>84</v>
      </c>
    </row>
    <row r="54" spans="1:9" x14ac:dyDescent="0.3">
      <c r="A54" t="s">
        <v>178</v>
      </c>
      <c r="B54" s="1">
        <v>8</v>
      </c>
      <c r="C54" t="s">
        <v>302</v>
      </c>
      <c r="D54" t="s">
        <v>247</v>
      </c>
      <c r="F54" t="s">
        <v>248</v>
      </c>
      <c r="H54" t="s">
        <v>70</v>
      </c>
      <c r="I54">
        <v>84</v>
      </c>
    </row>
    <row r="55" spans="1:9" x14ac:dyDescent="0.3">
      <c r="A55" t="s">
        <v>178</v>
      </c>
      <c r="B55" s="1">
        <v>8</v>
      </c>
      <c r="C55" t="s">
        <v>302</v>
      </c>
      <c r="D55" t="s">
        <v>249</v>
      </c>
      <c r="F55" t="s">
        <v>250</v>
      </c>
      <c r="H55" t="s">
        <v>70</v>
      </c>
      <c r="I55">
        <v>84</v>
      </c>
    </row>
    <row r="56" spans="1:9" x14ac:dyDescent="0.3">
      <c r="A56" t="s">
        <v>178</v>
      </c>
      <c r="B56" s="1">
        <v>8</v>
      </c>
      <c r="C56" t="s">
        <v>302</v>
      </c>
      <c r="D56" t="s">
        <v>251</v>
      </c>
      <c r="F56" t="s">
        <v>252</v>
      </c>
      <c r="H56" t="s">
        <v>70</v>
      </c>
      <c r="I56">
        <v>84</v>
      </c>
    </row>
    <row r="57" spans="1:9" x14ac:dyDescent="0.3">
      <c r="A57" t="s">
        <v>178</v>
      </c>
      <c r="B57" s="1">
        <v>8</v>
      </c>
      <c r="C57" t="s">
        <v>302</v>
      </c>
      <c r="D57" t="s">
        <v>253</v>
      </c>
      <c r="F57" t="s">
        <v>254</v>
      </c>
      <c r="H57" t="s">
        <v>70</v>
      </c>
      <c r="I57">
        <v>84</v>
      </c>
    </row>
    <row r="58" spans="1:9" x14ac:dyDescent="0.3">
      <c r="A58" t="s">
        <v>178</v>
      </c>
      <c r="B58" s="1">
        <v>8</v>
      </c>
      <c r="C58" t="s">
        <v>302</v>
      </c>
      <c r="D58" t="s">
        <v>255</v>
      </c>
      <c r="F58" t="s">
        <v>256</v>
      </c>
      <c r="H58" t="s">
        <v>70</v>
      </c>
      <c r="I58">
        <v>84</v>
      </c>
    </row>
    <row r="59" spans="1:9" x14ac:dyDescent="0.3">
      <c r="A59" t="s">
        <v>178</v>
      </c>
      <c r="B59" s="1">
        <v>8</v>
      </c>
      <c r="C59" t="s">
        <v>302</v>
      </c>
      <c r="D59" t="s">
        <v>257</v>
      </c>
      <c r="F59" t="s">
        <v>258</v>
      </c>
      <c r="H59" t="s">
        <v>70</v>
      </c>
      <c r="I59">
        <v>84</v>
      </c>
    </row>
    <row r="60" spans="1:9" x14ac:dyDescent="0.3">
      <c r="A60" t="s">
        <v>178</v>
      </c>
      <c r="B60" s="1">
        <v>8</v>
      </c>
      <c r="C60" t="s">
        <v>302</v>
      </c>
      <c r="D60" t="s">
        <v>259</v>
      </c>
      <c r="F60" t="s">
        <v>260</v>
      </c>
      <c r="H60" t="s">
        <v>70</v>
      </c>
      <c r="I60">
        <v>84</v>
      </c>
    </row>
    <row r="61" spans="1:9" x14ac:dyDescent="0.3">
      <c r="A61" t="s">
        <v>178</v>
      </c>
      <c r="B61" s="1">
        <v>8</v>
      </c>
      <c r="C61" t="s">
        <v>302</v>
      </c>
      <c r="D61" t="s">
        <v>261</v>
      </c>
      <c r="F61" t="s">
        <v>262</v>
      </c>
      <c r="H61" t="s">
        <v>70</v>
      </c>
      <c r="I61">
        <v>84</v>
      </c>
    </row>
    <row r="62" spans="1:9" x14ac:dyDescent="0.3">
      <c r="A62" t="s">
        <v>178</v>
      </c>
      <c r="B62" s="1">
        <v>8</v>
      </c>
      <c r="C62" t="s">
        <v>302</v>
      </c>
      <c r="D62" t="s">
        <v>263</v>
      </c>
      <c r="F62" t="s">
        <v>264</v>
      </c>
      <c r="H62" t="s">
        <v>70</v>
      </c>
      <c r="I62">
        <v>56</v>
      </c>
    </row>
    <row r="63" spans="1:9" x14ac:dyDescent="0.3">
      <c r="A63" t="s">
        <v>178</v>
      </c>
      <c r="B63" s="1">
        <v>8</v>
      </c>
      <c r="C63" t="s">
        <v>302</v>
      </c>
      <c r="D63" t="s">
        <v>265</v>
      </c>
      <c r="F63" t="s">
        <v>266</v>
      </c>
      <c r="H63" t="s">
        <v>70</v>
      </c>
      <c r="I63">
        <v>84</v>
      </c>
    </row>
    <row r="64" spans="1:9" x14ac:dyDescent="0.3">
      <c r="A64" t="s">
        <v>178</v>
      </c>
      <c r="B64" s="1">
        <v>8</v>
      </c>
      <c r="C64" t="s">
        <v>302</v>
      </c>
      <c r="D64" t="s">
        <v>267</v>
      </c>
      <c r="F64" t="s">
        <v>268</v>
      </c>
      <c r="H64" t="s">
        <v>70</v>
      </c>
      <c r="I64">
        <v>84</v>
      </c>
    </row>
    <row r="65" spans="1:9" x14ac:dyDescent="0.3">
      <c r="A65" t="s">
        <v>178</v>
      </c>
      <c r="B65" s="1">
        <v>8</v>
      </c>
      <c r="C65" t="s">
        <v>302</v>
      </c>
      <c r="D65" t="s">
        <v>269</v>
      </c>
      <c r="F65" t="s">
        <v>270</v>
      </c>
      <c r="H65" t="s">
        <v>70</v>
      </c>
      <c r="I65">
        <v>84</v>
      </c>
    </row>
    <row r="66" spans="1:9" x14ac:dyDescent="0.3">
      <c r="A66" t="s">
        <v>178</v>
      </c>
      <c r="B66" s="1">
        <v>8</v>
      </c>
      <c r="C66" t="s">
        <v>302</v>
      </c>
      <c r="D66" t="s">
        <v>271</v>
      </c>
      <c r="F66" t="s">
        <v>272</v>
      </c>
      <c r="H66" t="s">
        <v>70</v>
      </c>
      <c r="I66">
        <v>84</v>
      </c>
    </row>
    <row r="67" spans="1:9" x14ac:dyDescent="0.3">
      <c r="A67" t="s">
        <v>178</v>
      </c>
      <c r="B67" s="1">
        <v>8</v>
      </c>
      <c r="C67" t="s">
        <v>302</v>
      </c>
      <c r="D67" t="s">
        <v>273</v>
      </c>
      <c r="F67" t="s">
        <v>274</v>
      </c>
      <c r="H67" t="s">
        <v>70</v>
      </c>
      <c r="I67">
        <v>84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47"/>
  <sheetViews>
    <sheetView zoomScale="80" zoomScaleNormal="80" workbookViewId="0">
      <selection activeCell="D25" sqref="D25"/>
    </sheetView>
  </sheetViews>
  <sheetFormatPr baseColWidth="10" defaultColWidth="11.44140625" defaultRowHeight="19.8" customHeight="1" x14ac:dyDescent="0.3"/>
  <cols>
    <col min="1" max="1" width="27.21875" style="5" customWidth="1"/>
    <col min="2" max="2" width="19.6640625" style="3" customWidth="1"/>
    <col min="3" max="3" width="16.77734375" style="3" customWidth="1"/>
    <col min="4" max="4" width="14.109375" style="3" customWidth="1"/>
    <col min="5" max="5" width="63" style="17" customWidth="1"/>
    <col min="6" max="6" width="18.33203125" style="3" customWidth="1"/>
    <col min="7" max="7" width="19.5546875" style="3" customWidth="1"/>
    <col min="8" max="16384" width="11.44140625" style="3"/>
  </cols>
  <sheetData>
    <row r="1" spans="1:9" s="5" customFormat="1" ht="19.8" customHeight="1" x14ac:dyDescent="0.3">
      <c r="A1" s="11" t="s">
        <v>134</v>
      </c>
      <c r="B1" s="11" t="s">
        <v>140</v>
      </c>
      <c r="C1" s="11" t="s">
        <v>135</v>
      </c>
      <c r="D1" s="11" t="s">
        <v>136</v>
      </c>
      <c r="E1" s="15" t="s">
        <v>137</v>
      </c>
      <c r="F1" s="11" t="s">
        <v>138</v>
      </c>
      <c r="G1" s="11" t="s">
        <v>139</v>
      </c>
    </row>
    <row r="2" spans="1:9" s="5" customFormat="1" ht="19.8" customHeight="1" x14ac:dyDescent="0.3">
      <c r="A2" s="3" t="s">
        <v>145</v>
      </c>
      <c r="B2" s="3">
        <v>1</v>
      </c>
      <c r="C2" s="3" t="s">
        <v>77</v>
      </c>
      <c r="D2" s="4" t="s">
        <v>68</v>
      </c>
      <c r="E2" s="16" t="s">
        <v>79</v>
      </c>
      <c r="F2" s="4" t="s">
        <v>70</v>
      </c>
      <c r="G2" s="3">
        <v>1</v>
      </c>
      <c r="I2" s="2"/>
    </row>
    <row r="3" spans="1:9" s="5" customFormat="1" ht="19.8" customHeight="1" x14ac:dyDescent="0.3">
      <c r="A3" s="3" t="s">
        <v>145</v>
      </c>
      <c r="B3" s="3">
        <v>1</v>
      </c>
      <c r="C3" s="3" t="s">
        <v>77</v>
      </c>
      <c r="D3" s="3" t="s">
        <v>66</v>
      </c>
      <c r="E3" s="17" t="s">
        <v>13</v>
      </c>
      <c r="F3" s="3" t="s">
        <v>67</v>
      </c>
      <c r="G3" s="3">
        <v>1</v>
      </c>
    </row>
    <row r="4" spans="1:9" s="11" customFormat="1" ht="19.8" customHeight="1" x14ac:dyDescent="0.3">
      <c r="A4" s="3" t="s">
        <v>145</v>
      </c>
      <c r="B4" s="3">
        <v>1</v>
      </c>
      <c r="C4" s="3" t="s">
        <v>77</v>
      </c>
      <c r="D4" s="4" t="s">
        <v>69</v>
      </c>
      <c r="E4" s="17" t="s">
        <v>14</v>
      </c>
      <c r="F4" s="3" t="s">
        <v>67</v>
      </c>
      <c r="G4" s="3">
        <v>1</v>
      </c>
    </row>
    <row r="5" spans="1:9" ht="19.8" customHeight="1" x14ac:dyDescent="0.3">
      <c r="A5" s="3" t="s">
        <v>145</v>
      </c>
      <c r="B5" s="3">
        <v>1</v>
      </c>
      <c r="C5" s="3" t="s">
        <v>77</v>
      </c>
      <c r="D5" s="3" t="s">
        <v>3</v>
      </c>
      <c r="E5" s="17" t="s">
        <v>15</v>
      </c>
      <c r="F5" s="3" t="s">
        <v>69</v>
      </c>
      <c r="G5" s="3">
        <v>1</v>
      </c>
    </row>
    <row r="6" spans="1:9" ht="19.8" customHeight="1" x14ac:dyDescent="0.3">
      <c r="A6" s="3" t="s">
        <v>145</v>
      </c>
      <c r="B6" s="3">
        <v>1</v>
      </c>
      <c r="C6" s="3" t="s">
        <v>77</v>
      </c>
      <c r="D6" s="4" t="s">
        <v>70</v>
      </c>
      <c r="E6" s="17" t="s">
        <v>16</v>
      </c>
      <c r="F6" s="3" t="s">
        <v>67</v>
      </c>
      <c r="G6" s="3">
        <v>1</v>
      </c>
    </row>
    <row r="7" spans="1:9" ht="19.8" customHeight="1" x14ac:dyDescent="0.3">
      <c r="A7" s="3" t="s">
        <v>145</v>
      </c>
      <c r="B7" s="3">
        <v>1</v>
      </c>
      <c r="C7" s="3" t="s">
        <v>77</v>
      </c>
      <c r="D7" s="3" t="s">
        <v>71</v>
      </c>
      <c r="E7" s="17" t="s">
        <v>17</v>
      </c>
      <c r="F7" s="3" t="s">
        <v>70</v>
      </c>
      <c r="G7" s="3">
        <v>1</v>
      </c>
    </row>
    <row r="8" spans="1:9" ht="19.8" customHeight="1" x14ac:dyDescent="0.3">
      <c r="A8" s="3" t="s">
        <v>145</v>
      </c>
      <c r="B8" s="3">
        <v>1</v>
      </c>
      <c r="C8" s="3" t="s">
        <v>77</v>
      </c>
      <c r="D8" s="4" t="s">
        <v>72</v>
      </c>
      <c r="E8" s="17" t="s">
        <v>133</v>
      </c>
      <c r="F8" s="3" t="s">
        <v>70</v>
      </c>
      <c r="G8" s="3">
        <v>1</v>
      </c>
    </row>
    <row r="9" spans="1:9" ht="19.8" customHeight="1" x14ac:dyDescent="0.3">
      <c r="A9" s="3" t="s">
        <v>145</v>
      </c>
      <c r="B9" s="9">
        <v>1</v>
      </c>
      <c r="C9" s="9" t="s">
        <v>77</v>
      </c>
      <c r="D9" s="9" t="s">
        <v>73</v>
      </c>
      <c r="E9" s="19" t="s">
        <v>161</v>
      </c>
      <c r="F9" s="9" t="s">
        <v>67</v>
      </c>
      <c r="G9" s="9">
        <v>1</v>
      </c>
    </row>
    <row r="10" spans="1:9" ht="19.8" customHeight="1" x14ac:dyDescent="0.3">
      <c r="A10" s="3" t="s">
        <v>145</v>
      </c>
      <c r="B10" s="9">
        <v>1</v>
      </c>
      <c r="C10" s="9" t="s">
        <v>77</v>
      </c>
      <c r="D10" s="9" t="s">
        <v>74</v>
      </c>
      <c r="E10" s="19" t="s">
        <v>162</v>
      </c>
      <c r="F10" s="9" t="s">
        <v>67</v>
      </c>
      <c r="G10" s="9">
        <v>1</v>
      </c>
    </row>
    <row r="11" spans="1:9" ht="19.8" customHeight="1" x14ac:dyDescent="0.3">
      <c r="A11" s="3" t="s">
        <v>145</v>
      </c>
      <c r="B11" s="3">
        <v>2</v>
      </c>
      <c r="C11" s="3" t="s">
        <v>5</v>
      </c>
      <c r="D11" s="4" t="s">
        <v>68</v>
      </c>
      <c r="E11" s="16" t="s">
        <v>80</v>
      </c>
      <c r="F11" s="4" t="s">
        <v>70</v>
      </c>
      <c r="G11" s="3">
        <v>7</v>
      </c>
    </row>
    <row r="12" spans="1:9" ht="19.8" customHeight="1" x14ac:dyDescent="0.3">
      <c r="A12" s="3" t="s">
        <v>145</v>
      </c>
      <c r="B12" s="3">
        <v>2</v>
      </c>
      <c r="C12" s="3" t="s">
        <v>5</v>
      </c>
      <c r="D12" s="3" t="s">
        <v>66</v>
      </c>
      <c r="E12" s="17" t="s">
        <v>18</v>
      </c>
      <c r="F12" s="3" t="s">
        <v>67</v>
      </c>
      <c r="G12" s="3">
        <v>7</v>
      </c>
    </row>
    <row r="13" spans="1:9" ht="19.8" customHeight="1" x14ac:dyDescent="0.3">
      <c r="A13" s="3" t="s">
        <v>145</v>
      </c>
      <c r="B13" s="3">
        <v>2</v>
      </c>
      <c r="C13" s="3" t="s">
        <v>5</v>
      </c>
      <c r="D13" s="4" t="s">
        <v>69</v>
      </c>
      <c r="E13" s="17" t="s">
        <v>19</v>
      </c>
      <c r="F13" s="3" t="s">
        <v>67</v>
      </c>
      <c r="G13" s="3">
        <v>7</v>
      </c>
    </row>
    <row r="14" spans="1:9" ht="19.8" customHeight="1" x14ac:dyDescent="0.3">
      <c r="A14" s="3" t="s">
        <v>145</v>
      </c>
      <c r="B14" s="3">
        <v>2</v>
      </c>
      <c r="C14" s="3" t="s">
        <v>5</v>
      </c>
      <c r="D14" s="3" t="s">
        <v>3</v>
      </c>
      <c r="E14" s="17" t="s">
        <v>20</v>
      </c>
      <c r="F14" s="3" t="s">
        <v>67</v>
      </c>
      <c r="G14" s="3">
        <v>7</v>
      </c>
    </row>
    <row r="15" spans="1:9" ht="19.8" customHeight="1" x14ac:dyDescent="0.3">
      <c r="A15" s="3" t="s">
        <v>145</v>
      </c>
      <c r="B15" s="3">
        <v>2</v>
      </c>
      <c r="C15" s="3" t="s">
        <v>5</v>
      </c>
      <c r="D15" s="4" t="s">
        <v>70</v>
      </c>
      <c r="E15" s="17" t="s">
        <v>21</v>
      </c>
      <c r="F15" s="3" t="s">
        <v>67</v>
      </c>
      <c r="G15" s="3">
        <v>7</v>
      </c>
    </row>
    <row r="16" spans="1:9" ht="19.8" customHeight="1" x14ac:dyDescent="0.3">
      <c r="A16" s="3" t="s">
        <v>145</v>
      </c>
      <c r="B16" s="3">
        <v>2</v>
      </c>
      <c r="C16" s="3" t="s">
        <v>5</v>
      </c>
      <c r="D16" s="3" t="s">
        <v>71</v>
      </c>
      <c r="E16" s="17" t="s">
        <v>24</v>
      </c>
      <c r="F16" s="3" t="s">
        <v>69</v>
      </c>
      <c r="G16" s="3">
        <v>7</v>
      </c>
    </row>
    <row r="17" spans="1:7" ht="19.8" customHeight="1" x14ac:dyDescent="0.3">
      <c r="A17" s="3" t="s">
        <v>145</v>
      </c>
      <c r="B17" s="3">
        <v>2</v>
      </c>
      <c r="C17" s="3" t="s">
        <v>5</v>
      </c>
      <c r="D17" s="3" t="s">
        <v>72</v>
      </c>
      <c r="E17" s="17" t="s">
        <v>22</v>
      </c>
      <c r="F17" s="3" t="s">
        <v>70</v>
      </c>
      <c r="G17" s="3">
        <v>7</v>
      </c>
    </row>
    <row r="18" spans="1:7" ht="19.8" customHeight="1" x14ac:dyDescent="0.3">
      <c r="A18" s="3" t="s">
        <v>145</v>
      </c>
      <c r="B18" s="3">
        <v>2</v>
      </c>
      <c r="C18" s="3" t="s">
        <v>5</v>
      </c>
      <c r="D18" s="3" t="s">
        <v>73</v>
      </c>
      <c r="E18" s="17" t="s">
        <v>23</v>
      </c>
      <c r="F18" s="3" t="s">
        <v>69</v>
      </c>
      <c r="G18" s="3">
        <v>7</v>
      </c>
    </row>
    <row r="19" spans="1:7" ht="19.8" customHeight="1" x14ac:dyDescent="0.3">
      <c r="A19" s="3" t="s">
        <v>145</v>
      </c>
      <c r="B19" s="9">
        <v>2</v>
      </c>
      <c r="C19" s="9" t="s">
        <v>5</v>
      </c>
      <c r="D19" s="9" t="s">
        <v>74</v>
      </c>
      <c r="E19" s="19" t="s">
        <v>163</v>
      </c>
      <c r="F19" s="9" t="s">
        <v>67</v>
      </c>
      <c r="G19" s="9">
        <v>7</v>
      </c>
    </row>
    <row r="20" spans="1:7" ht="19.8" customHeight="1" x14ac:dyDescent="0.3">
      <c r="A20" s="3" t="s">
        <v>145</v>
      </c>
      <c r="B20" s="9">
        <v>2</v>
      </c>
      <c r="C20" s="9" t="s">
        <v>5</v>
      </c>
      <c r="D20" s="9" t="s">
        <v>2</v>
      </c>
      <c r="E20" s="19" t="s">
        <v>164</v>
      </c>
      <c r="F20" s="9" t="s">
        <v>76</v>
      </c>
      <c r="G20" s="9">
        <v>7</v>
      </c>
    </row>
    <row r="21" spans="1:7" ht="19.8" customHeight="1" x14ac:dyDescent="0.3">
      <c r="A21" s="3" t="s">
        <v>145</v>
      </c>
      <c r="B21" s="9">
        <v>2</v>
      </c>
      <c r="C21" s="9" t="s">
        <v>5</v>
      </c>
      <c r="D21" s="9" t="s">
        <v>75</v>
      </c>
      <c r="E21" s="19" t="s">
        <v>165</v>
      </c>
      <c r="F21" s="9" t="s">
        <v>67</v>
      </c>
      <c r="G21" s="9">
        <v>7</v>
      </c>
    </row>
    <row r="22" spans="1:7" ht="19.8" customHeight="1" x14ac:dyDescent="0.3">
      <c r="A22" s="3" t="s">
        <v>145</v>
      </c>
      <c r="B22" s="9">
        <v>2</v>
      </c>
      <c r="C22" s="9" t="s">
        <v>5</v>
      </c>
      <c r="D22" s="9" t="s">
        <v>0</v>
      </c>
      <c r="E22" s="19" t="s">
        <v>166</v>
      </c>
      <c r="F22" s="9" t="s">
        <v>67</v>
      </c>
      <c r="G22" s="9">
        <v>7</v>
      </c>
    </row>
    <row r="23" spans="1:7" ht="19.8" customHeight="1" x14ac:dyDescent="0.3">
      <c r="A23" s="3" t="s">
        <v>145</v>
      </c>
      <c r="B23" s="9">
        <v>2</v>
      </c>
      <c r="C23" s="9" t="s">
        <v>5</v>
      </c>
      <c r="D23" s="9" t="s">
        <v>1</v>
      </c>
      <c r="E23" s="19" t="s">
        <v>167</v>
      </c>
      <c r="F23" s="9" t="s">
        <v>67</v>
      </c>
      <c r="G23" s="9">
        <v>7</v>
      </c>
    </row>
    <row r="24" spans="1:7" ht="19.8" customHeight="1" x14ac:dyDescent="0.3">
      <c r="A24" s="3" t="s">
        <v>145</v>
      </c>
      <c r="B24" s="9">
        <v>2</v>
      </c>
      <c r="C24" s="9" t="s">
        <v>5</v>
      </c>
      <c r="D24" s="9" t="s">
        <v>67</v>
      </c>
      <c r="E24" s="19" t="s">
        <v>168</v>
      </c>
      <c r="F24" s="9" t="s">
        <v>67</v>
      </c>
      <c r="G24" s="9">
        <v>7</v>
      </c>
    </row>
    <row r="25" spans="1:7" ht="19.8" customHeight="1" x14ac:dyDescent="0.3">
      <c r="A25" s="3" t="s">
        <v>145</v>
      </c>
      <c r="B25" s="9">
        <v>3</v>
      </c>
      <c r="C25" s="9" t="s">
        <v>6</v>
      </c>
      <c r="D25" s="9" t="s">
        <v>68</v>
      </c>
      <c r="E25" s="19" t="s">
        <v>169</v>
      </c>
      <c r="F25" s="9" t="s">
        <v>70</v>
      </c>
      <c r="G25" s="9">
        <v>14</v>
      </c>
    </row>
    <row r="26" spans="1:7" ht="19.8" customHeight="1" x14ac:dyDescent="0.3">
      <c r="A26" s="3" t="s">
        <v>145</v>
      </c>
      <c r="B26" s="3">
        <v>4</v>
      </c>
      <c r="C26" s="3" t="s">
        <v>7</v>
      </c>
      <c r="D26" s="4" t="s">
        <v>68</v>
      </c>
      <c r="E26" s="16" t="s">
        <v>12</v>
      </c>
      <c r="F26" s="4" t="s">
        <v>70</v>
      </c>
      <c r="G26" s="3">
        <v>28</v>
      </c>
    </row>
    <row r="27" spans="1:7" ht="19.8" customHeight="1" x14ac:dyDescent="0.3">
      <c r="A27" s="3" t="s">
        <v>145</v>
      </c>
      <c r="B27" s="3">
        <v>4</v>
      </c>
      <c r="C27" s="3" t="s">
        <v>7</v>
      </c>
      <c r="D27" s="3" t="s">
        <v>66</v>
      </c>
      <c r="E27" s="17" t="s">
        <v>27</v>
      </c>
      <c r="F27" s="3" t="s">
        <v>70</v>
      </c>
      <c r="G27" s="3">
        <v>28</v>
      </c>
    </row>
    <row r="28" spans="1:7" ht="19.8" customHeight="1" x14ac:dyDescent="0.3">
      <c r="A28" s="3" t="s">
        <v>145</v>
      </c>
      <c r="B28" s="3">
        <v>4</v>
      </c>
      <c r="C28" s="3" t="s">
        <v>7</v>
      </c>
      <c r="D28" s="4" t="s">
        <v>69</v>
      </c>
      <c r="E28" s="17" t="s">
        <v>25</v>
      </c>
      <c r="F28" s="3" t="s">
        <v>70</v>
      </c>
      <c r="G28" s="3">
        <v>28</v>
      </c>
    </row>
    <row r="29" spans="1:7" ht="19.8" customHeight="1" x14ac:dyDescent="0.3">
      <c r="A29" s="3" t="s">
        <v>145</v>
      </c>
      <c r="B29" s="3">
        <v>4</v>
      </c>
      <c r="C29" s="3" t="s">
        <v>7</v>
      </c>
      <c r="D29" s="3" t="s">
        <v>3</v>
      </c>
      <c r="E29" s="17" t="s">
        <v>26</v>
      </c>
      <c r="F29" s="3" t="s">
        <v>76</v>
      </c>
      <c r="G29" s="3">
        <v>28</v>
      </c>
    </row>
    <row r="30" spans="1:7" ht="19.8" customHeight="1" x14ac:dyDescent="0.3">
      <c r="A30" s="3" t="s">
        <v>145</v>
      </c>
      <c r="B30" s="3">
        <v>4</v>
      </c>
      <c r="C30" s="3" t="s">
        <v>7</v>
      </c>
      <c r="D30" s="4" t="s">
        <v>70</v>
      </c>
      <c r="E30" s="17" t="s">
        <v>28</v>
      </c>
      <c r="F30" s="3" t="s">
        <v>67</v>
      </c>
      <c r="G30" s="3">
        <v>28</v>
      </c>
    </row>
    <row r="31" spans="1:7" ht="19.8" customHeight="1" x14ac:dyDescent="0.3">
      <c r="A31" s="3" t="s">
        <v>145</v>
      </c>
      <c r="B31" s="3">
        <v>4</v>
      </c>
      <c r="C31" s="3" t="s">
        <v>7</v>
      </c>
      <c r="D31" s="3" t="s">
        <v>71</v>
      </c>
      <c r="E31" s="17" t="s">
        <v>29</v>
      </c>
      <c r="F31" s="3" t="s">
        <v>67</v>
      </c>
      <c r="G31" s="3">
        <v>28</v>
      </c>
    </row>
    <row r="32" spans="1:7" ht="19.8" customHeight="1" x14ac:dyDescent="0.3">
      <c r="A32" s="3" t="s">
        <v>145</v>
      </c>
      <c r="B32" s="9">
        <v>4</v>
      </c>
      <c r="C32" s="9" t="s">
        <v>7</v>
      </c>
      <c r="D32" s="9" t="s">
        <v>72</v>
      </c>
      <c r="E32" s="19" t="s">
        <v>170</v>
      </c>
      <c r="F32" s="9" t="s">
        <v>67</v>
      </c>
      <c r="G32" s="9">
        <v>28</v>
      </c>
    </row>
    <row r="33" spans="1:7" ht="19.8" customHeight="1" x14ac:dyDescent="0.3">
      <c r="A33" s="3" t="s">
        <v>145</v>
      </c>
      <c r="B33" s="9">
        <v>4</v>
      </c>
      <c r="C33" s="9" t="s">
        <v>7</v>
      </c>
      <c r="D33" s="9" t="s">
        <v>73</v>
      </c>
      <c r="E33" s="19" t="s">
        <v>171</v>
      </c>
      <c r="F33" s="9" t="s">
        <v>67</v>
      </c>
      <c r="G33" s="9">
        <v>28</v>
      </c>
    </row>
    <row r="34" spans="1:7" ht="19.8" customHeight="1" x14ac:dyDescent="0.3">
      <c r="A34" s="3" t="s">
        <v>145</v>
      </c>
      <c r="B34" s="3">
        <v>5</v>
      </c>
      <c r="C34" s="3" t="s">
        <v>8</v>
      </c>
      <c r="D34" s="3" t="s">
        <v>68</v>
      </c>
      <c r="E34" s="17" t="s">
        <v>82</v>
      </c>
      <c r="F34" s="3" t="s">
        <v>76</v>
      </c>
      <c r="G34" s="3">
        <v>56</v>
      </c>
    </row>
    <row r="35" spans="1:7" ht="19.8" customHeight="1" x14ac:dyDescent="0.3">
      <c r="A35" s="3" t="s">
        <v>145</v>
      </c>
      <c r="B35" s="3">
        <v>5</v>
      </c>
      <c r="C35" s="3" t="s">
        <v>8</v>
      </c>
      <c r="D35" s="5" t="s">
        <v>66</v>
      </c>
      <c r="E35" s="18" t="s">
        <v>30</v>
      </c>
      <c r="F35" s="5" t="s">
        <v>70</v>
      </c>
      <c r="G35" s="3">
        <v>56</v>
      </c>
    </row>
    <row r="36" spans="1:7" ht="19.8" customHeight="1" x14ac:dyDescent="0.3">
      <c r="A36" s="3" t="s">
        <v>145</v>
      </c>
      <c r="B36" s="3">
        <v>5</v>
      </c>
      <c r="C36" s="3" t="s">
        <v>8</v>
      </c>
      <c r="D36" s="5" t="s">
        <v>69</v>
      </c>
      <c r="E36" s="18" t="s">
        <v>31</v>
      </c>
      <c r="F36" s="5" t="s">
        <v>70</v>
      </c>
      <c r="G36" s="3">
        <v>56</v>
      </c>
    </row>
    <row r="37" spans="1:7" ht="19.8" customHeight="1" x14ac:dyDescent="0.3">
      <c r="A37" s="3" t="s">
        <v>145</v>
      </c>
      <c r="B37" s="3">
        <v>6</v>
      </c>
      <c r="C37" s="3" t="s">
        <v>9</v>
      </c>
      <c r="D37" s="3" t="s">
        <v>68</v>
      </c>
      <c r="E37" s="17" t="s">
        <v>32</v>
      </c>
      <c r="F37" s="3" t="s">
        <v>76</v>
      </c>
      <c r="G37" s="3">
        <v>84</v>
      </c>
    </row>
    <row r="38" spans="1:7" ht="19.8" customHeight="1" x14ac:dyDescent="0.3">
      <c r="A38" s="3" t="s">
        <v>145</v>
      </c>
      <c r="B38" s="3">
        <v>6</v>
      </c>
      <c r="C38" s="3" t="s">
        <v>9</v>
      </c>
      <c r="D38" s="3" t="s">
        <v>66</v>
      </c>
      <c r="E38" s="17" t="s">
        <v>33</v>
      </c>
      <c r="F38" s="3" t="s">
        <v>67</v>
      </c>
      <c r="G38" s="3">
        <v>84</v>
      </c>
    </row>
    <row r="39" spans="1:7" ht="19.8" customHeight="1" x14ac:dyDescent="0.3">
      <c r="A39" s="3" t="s">
        <v>145</v>
      </c>
      <c r="B39" s="9">
        <v>6</v>
      </c>
      <c r="C39" s="9" t="s">
        <v>9</v>
      </c>
      <c r="D39" s="9" t="s">
        <v>69</v>
      </c>
      <c r="E39" s="19" t="s">
        <v>172</v>
      </c>
      <c r="F39" s="9" t="s">
        <v>76</v>
      </c>
      <c r="G39" s="9">
        <v>84</v>
      </c>
    </row>
    <row r="40" spans="1:7" ht="19.8" customHeight="1" x14ac:dyDescent="0.3">
      <c r="A40" s="3" t="s">
        <v>145</v>
      </c>
      <c r="B40" s="9">
        <v>6</v>
      </c>
      <c r="C40" s="9" t="s">
        <v>9</v>
      </c>
      <c r="D40" s="9" t="s">
        <v>3</v>
      </c>
      <c r="E40" s="19" t="s">
        <v>173</v>
      </c>
      <c r="F40" s="9" t="s">
        <v>70</v>
      </c>
      <c r="G40" s="9">
        <v>84</v>
      </c>
    </row>
    <row r="41" spans="1:7" ht="19.8" customHeight="1" x14ac:dyDescent="0.3">
      <c r="A41" s="3" t="s">
        <v>145</v>
      </c>
      <c r="B41" s="3">
        <v>7</v>
      </c>
      <c r="C41" s="3" t="s">
        <v>10</v>
      </c>
      <c r="D41" s="3" t="s">
        <v>68</v>
      </c>
      <c r="E41" s="17" t="s">
        <v>34</v>
      </c>
      <c r="F41" s="3" t="s">
        <v>76</v>
      </c>
      <c r="G41" s="3">
        <v>168</v>
      </c>
    </row>
    <row r="42" spans="1:7" ht="19.8" customHeight="1" x14ac:dyDescent="0.3">
      <c r="A42" s="3" t="s">
        <v>145</v>
      </c>
      <c r="B42" s="3">
        <v>7</v>
      </c>
      <c r="C42" s="3" t="s">
        <v>10</v>
      </c>
      <c r="D42" s="5" t="s">
        <v>66</v>
      </c>
      <c r="E42" s="18" t="s">
        <v>30</v>
      </c>
      <c r="F42" s="5" t="s">
        <v>70</v>
      </c>
      <c r="G42" s="3">
        <v>168</v>
      </c>
    </row>
    <row r="43" spans="1:7" ht="19.8" customHeight="1" x14ac:dyDescent="0.3">
      <c r="A43" s="3" t="s">
        <v>145</v>
      </c>
      <c r="B43" s="3">
        <v>7</v>
      </c>
      <c r="C43" s="3" t="s">
        <v>10</v>
      </c>
      <c r="D43" s="5" t="s">
        <v>69</v>
      </c>
      <c r="E43" s="18" t="s">
        <v>31</v>
      </c>
      <c r="F43" s="5" t="s">
        <v>70</v>
      </c>
      <c r="G43" s="3">
        <v>168</v>
      </c>
    </row>
    <row r="44" spans="1:7" ht="19.8" customHeight="1" x14ac:dyDescent="0.3">
      <c r="A44" s="3" t="s">
        <v>145</v>
      </c>
      <c r="B44" s="3">
        <v>7</v>
      </c>
      <c r="C44" s="3" t="s">
        <v>10</v>
      </c>
      <c r="D44" s="3" t="s">
        <v>3</v>
      </c>
      <c r="E44" s="17" t="s">
        <v>35</v>
      </c>
      <c r="F44" s="3" t="s">
        <v>67</v>
      </c>
      <c r="G44" s="3">
        <v>168</v>
      </c>
    </row>
    <row r="45" spans="1:7" ht="19.8" customHeight="1" x14ac:dyDescent="0.3">
      <c r="A45" s="3" t="s">
        <v>145</v>
      </c>
      <c r="B45" s="3">
        <v>8</v>
      </c>
      <c r="C45" s="3" t="s">
        <v>78</v>
      </c>
      <c r="D45" s="3" t="s">
        <v>68</v>
      </c>
      <c r="E45" s="17" t="s">
        <v>81</v>
      </c>
      <c r="F45" s="3" t="s">
        <v>67</v>
      </c>
      <c r="G45" s="3">
        <v>336</v>
      </c>
    </row>
    <row r="46" spans="1:7" ht="19.8" customHeight="1" x14ac:dyDescent="0.3">
      <c r="A46" s="3" t="s">
        <v>145</v>
      </c>
      <c r="B46" s="9">
        <v>8</v>
      </c>
      <c r="C46" s="3" t="s">
        <v>78</v>
      </c>
      <c r="D46" s="9" t="s">
        <v>66</v>
      </c>
      <c r="E46" s="19" t="s">
        <v>141</v>
      </c>
      <c r="F46" s="9" t="s">
        <v>70</v>
      </c>
      <c r="G46" s="9">
        <v>336</v>
      </c>
    </row>
    <row r="47" spans="1:7" ht="19.8" customHeight="1" x14ac:dyDescent="0.3">
      <c r="A47" s="9"/>
      <c r="B47" s="9"/>
      <c r="C47" s="9"/>
      <c r="D47" s="9"/>
      <c r="E47" s="19"/>
      <c r="F47" s="9"/>
      <c r="G47" s="9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44"/>
  <sheetViews>
    <sheetView topLeftCell="A19" zoomScale="80" zoomScaleNormal="80" workbookViewId="0">
      <selection activeCell="A8" sqref="A8"/>
    </sheetView>
  </sheetViews>
  <sheetFormatPr baseColWidth="10" defaultColWidth="11.44140625" defaultRowHeight="16.5" customHeight="1" x14ac:dyDescent="0.3"/>
  <cols>
    <col min="1" max="1" width="22.77734375" style="5" customWidth="1"/>
    <col min="2" max="2" width="13.5546875" style="3" customWidth="1"/>
    <col min="3" max="3" width="17.88671875" style="3" customWidth="1"/>
    <col min="4" max="4" width="14.109375" style="3" customWidth="1"/>
    <col min="5" max="5" width="57.33203125" style="6" customWidth="1"/>
    <col min="6" max="7" width="17.33203125" style="3" customWidth="1"/>
    <col min="8" max="16384" width="11.44140625" style="3"/>
  </cols>
  <sheetData>
    <row r="1" spans="1:9" s="5" customFormat="1" ht="19.8" customHeight="1" x14ac:dyDescent="0.3">
      <c r="A1" s="11" t="s">
        <v>134</v>
      </c>
      <c r="B1" s="11" t="s">
        <v>140</v>
      </c>
      <c r="C1" s="11" t="s">
        <v>135</v>
      </c>
      <c r="D1" s="11" t="s">
        <v>136</v>
      </c>
      <c r="E1" s="12" t="s">
        <v>137</v>
      </c>
      <c r="F1" s="11" t="s">
        <v>138</v>
      </c>
      <c r="G1" s="11" t="s">
        <v>139</v>
      </c>
    </row>
    <row r="2" spans="1:9" s="5" customFormat="1" ht="19.8" customHeight="1" x14ac:dyDescent="0.3">
      <c r="A2" s="3" t="s">
        <v>142</v>
      </c>
      <c r="B2" s="3">
        <v>1</v>
      </c>
      <c r="C2" s="3" t="s">
        <v>4</v>
      </c>
      <c r="D2" s="4" t="s">
        <v>68</v>
      </c>
      <c r="E2" s="8" t="s">
        <v>79</v>
      </c>
      <c r="F2" s="4" t="s">
        <v>70</v>
      </c>
      <c r="G2" s="3">
        <v>1</v>
      </c>
      <c r="I2" s="2"/>
    </row>
    <row r="3" spans="1:9" s="5" customFormat="1" ht="19.8" customHeight="1" x14ac:dyDescent="0.3">
      <c r="A3" s="3" t="str">
        <f>$A$2</f>
        <v>cobas 8000</v>
      </c>
      <c r="B3" s="3">
        <v>1</v>
      </c>
      <c r="C3" s="3" t="s">
        <v>4</v>
      </c>
      <c r="D3" s="3" t="s">
        <v>66</v>
      </c>
      <c r="E3" s="6" t="s">
        <v>92</v>
      </c>
      <c r="F3" s="3" t="s">
        <v>67</v>
      </c>
      <c r="G3" s="3">
        <v>1</v>
      </c>
    </row>
    <row r="4" spans="1:9" s="11" customFormat="1" ht="19.8" customHeight="1" x14ac:dyDescent="0.3">
      <c r="A4" s="3" t="str">
        <f t="shared" ref="A4:A44" si="0">$A$2</f>
        <v>cobas 8000</v>
      </c>
      <c r="B4" s="3">
        <v>1</v>
      </c>
      <c r="C4" s="3" t="s">
        <v>4</v>
      </c>
      <c r="D4" s="4" t="s">
        <v>69</v>
      </c>
      <c r="E4" s="6" t="s">
        <v>121</v>
      </c>
      <c r="F4" s="3" t="s">
        <v>69</v>
      </c>
      <c r="G4" s="3">
        <v>1</v>
      </c>
    </row>
    <row r="5" spans="1:9" ht="19.8" customHeight="1" x14ac:dyDescent="0.3">
      <c r="A5" s="3" t="str">
        <f t="shared" si="0"/>
        <v>cobas 8000</v>
      </c>
      <c r="B5" s="3">
        <v>1</v>
      </c>
      <c r="C5" s="3" t="s">
        <v>4</v>
      </c>
      <c r="D5" s="3" t="s">
        <v>3</v>
      </c>
      <c r="E5" s="6" t="s">
        <v>122</v>
      </c>
      <c r="F5" s="3" t="s">
        <v>70</v>
      </c>
      <c r="G5" s="3">
        <v>1</v>
      </c>
    </row>
    <row r="6" spans="1:9" ht="19.8" customHeight="1" x14ac:dyDescent="0.3">
      <c r="A6" s="3" t="str">
        <f t="shared" si="0"/>
        <v>cobas 8000</v>
      </c>
      <c r="B6" s="3">
        <v>1</v>
      </c>
      <c r="C6" s="3" t="s">
        <v>4</v>
      </c>
      <c r="D6" s="4" t="s">
        <v>70</v>
      </c>
      <c r="E6" s="6" t="s">
        <v>124</v>
      </c>
      <c r="F6" s="3" t="s">
        <v>67</v>
      </c>
      <c r="G6" s="3">
        <v>1</v>
      </c>
    </row>
    <row r="7" spans="1:9" ht="19.8" customHeight="1" x14ac:dyDescent="0.3">
      <c r="A7" s="3" t="str">
        <f t="shared" si="0"/>
        <v>cobas 8000</v>
      </c>
      <c r="B7" s="3">
        <v>1</v>
      </c>
      <c r="C7" s="3" t="s">
        <v>4</v>
      </c>
      <c r="D7" s="3" t="s">
        <v>71</v>
      </c>
      <c r="E7" s="6" t="s">
        <v>123</v>
      </c>
      <c r="F7" s="3" t="s">
        <v>67</v>
      </c>
      <c r="G7" s="3">
        <v>1</v>
      </c>
    </row>
    <row r="8" spans="1:9" ht="19.8" customHeight="1" x14ac:dyDescent="0.3">
      <c r="A8" s="3" t="str">
        <f t="shared" si="0"/>
        <v>cobas 8000</v>
      </c>
      <c r="B8" s="3">
        <v>2</v>
      </c>
      <c r="C8" s="3" t="s">
        <v>5</v>
      </c>
      <c r="D8" s="4" t="s">
        <v>68</v>
      </c>
      <c r="E8" s="6" t="s">
        <v>120</v>
      </c>
      <c r="F8" s="3" t="s">
        <v>70</v>
      </c>
      <c r="G8" s="3">
        <v>28</v>
      </c>
    </row>
    <row r="9" spans="1:9" ht="19.8" customHeight="1" x14ac:dyDescent="0.3">
      <c r="A9" s="3" t="str">
        <f t="shared" si="0"/>
        <v>cobas 8000</v>
      </c>
      <c r="B9" s="3">
        <v>2</v>
      </c>
      <c r="C9" s="3" t="s">
        <v>5</v>
      </c>
      <c r="D9" s="4" t="s">
        <v>66</v>
      </c>
      <c r="E9" s="8" t="s">
        <v>125</v>
      </c>
      <c r="F9" s="4" t="s">
        <v>67</v>
      </c>
      <c r="G9" s="3">
        <v>7</v>
      </c>
    </row>
    <row r="10" spans="1:9" ht="19.8" customHeight="1" x14ac:dyDescent="0.3">
      <c r="A10" s="3" t="str">
        <f t="shared" si="0"/>
        <v>cobas 8000</v>
      </c>
      <c r="B10" s="3">
        <v>2</v>
      </c>
      <c r="C10" s="3" t="s">
        <v>5</v>
      </c>
      <c r="D10" s="3" t="s">
        <v>69</v>
      </c>
      <c r="E10" s="6" t="s">
        <v>126</v>
      </c>
      <c r="F10" s="3" t="s">
        <v>69</v>
      </c>
      <c r="G10" s="3">
        <v>7</v>
      </c>
    </row>
    <row r="11" spans="1:9" ht="19.8" customHeight="1" x14ac:dyDescent="0.3">
      <c r="A11" s="3" t="str">
        <f t="shared" si="0"/>
        <v>cobas 8000</v>
      </c>
      <c r="B11" s="3">
        <v>2</v>
      </c>
      <c r="C11" s="3" t="s">
        <v>5</v>
      </c>
      <c r="D11" s="4" t="s">
        <v>3</v>
      </c>
      <c r="E11" s="6" t="s">
        <v>127</v>
      </c>
      <c r="F11" s="3" t="s">
        <v>67</v>
      </c>
      <c r="G11" s="3">
        <v>7</v>
      </c>
    </row>
    <row r="12" spans="1:9" ht="19.8" customHeight="1" x14ac:dyDescent="0.3">
      <c r="A12" s="3" t="str">
        <f t="shared" si="0"/>
        <v>cobas 8000</v>
      </c>
      <c r="B12" s="3">
        <v>2</v>
      </c>
      <c r="C12" s="3" t="s">
        <v>5</v>
      </c>
      <c r="D12" s="3" t="s">
        <v>70</v>
      </c>
      <c r="E12" s="6" t="s">
        <v>93</v>
      </c>
      <c r="F12" s="3" t="s">
        <v>67</v>
      </c>
      <c r="G12" s="3">
        <v>7</v>
      </c>
    </row>
    <row r="13" spans="1:9" ht="19.8" customHeight="1" x14ac:dyDescent="0.3">
      <c r="A13" s="3" t="str">
        <f t="shared" si="0"/>
        <v>cobas 8000</v>
      </c>
      <c r="B13" s="3">
        <v>2</v>
      </c>
      <c r="C13" s="3" t="s">
        <v>5</v>
      </c>
      <c r="D13" s="4" t="s">
        <v>71</v>
      </c>
      <c r="E13" s="6" t="s">
        <v>83</v>
      </c>
      <c r="F13" s="3" t="s">
        <v>67</v>
      </c>
      <c r="G13" s="3">
        <v>7</v>
      </c>
    </row>
    <row r="14" spans="1:9" ht="19.8" customHeight="1" x14ac:dyDescent="0.3">
      <c r="A14" s="3" t="str">
        <f t="shared" si="0"/>
        <v>cobas 8000</v>
      </c>
      <c r="B14" s="3">
        <v>2</v>
      </c>
      <c r="C14" s="3" t="s">
        <v>5</v>
      </c>
      <c r="D14" s="3" t="s">
        <v>72</v>
      </c>
      <c r="E14" s="6" t="s">
        <v>94</v>
      </c>
      <c r="F14" s="3" t="s">
        <v>67</v>
      </c>
      <c r="G14" s="3">
        <v>7</v>
      </c>
    </row>
    <row r="15" spans="1:9" ht="19.8" customHeight="1" x14ac:dyDescent="0.3">
      <c r="A15" s="3" t="str">
        <f t="shared" si="0"/>
        <v>cobas 8000</v>
      </c>
      <c r="B15" s="3">
        <v>2</v>
      </c>
      <c r="C15" s="3" t="s">
        <v>5</v>
      </c>
      <c r="D15" s="3" t="s">
        <v>73</v>
      </c>
      <c r="E15" s="6" t="s">
        <v>95</v>
      </c>
      <c r="F15" s="3" t="s">
        <v>76</v>
      </c>
      <c r="G15" s="3">
        <v>7</v>
      </c>
    </row>
    <row r="16" spans="1:9" ht="19.8" customHeight="1" x14ac:dyDescent="0.3">
      <c r="A16" s="3" t="str">
        <f t="shared" si="0"/>
        <v>cobas 8000</v>
      </c>
      <c r="B16" s="3">
        <v>2</v>
      </c>
      <c r="C16" s="3" t="s">
        <v>5</v>
      </c>
      <c r="D16" s="3" t="s">
        <v>74</v>
      </c>
      <c r="E16" s="6" t="s">
        <v>96</v>
      </c>
      <c r="F16" s="3" t="s">
        <v>69</v>
      </c>
      <c r="G16" s="3">
        <v>7</v>
      </c>
    </row>
    <row r="17" spans="1:7" ht="19.8" customHeight="1" x14ac:dyDescent="0.3">
      <c r="A17" s="3" t="str">
        <f t="shared" si="0"/>
        <v>cobas 8000</v>
      </c>
      <c r="B17" s="3">
        <v>2</v>
      </c>
      <c r="C17" s="3" t="s">
        <v>5</v>
      </c>
      <c r="D17" s="4" t="s">
        <v>2</v>
      </c>
      <c r="E17" s="8" t="s">
        <v>36</v>
      </c>
      <c r="F17" s="4" t="s">
        <v>67</v>
      </c>
      <c r="G17" s="3">
        <v>7</v>
      </c>
    </row>
    <row r="18" spans="1:7" ht="19.8" customHeight="1" x14ac:dyDescent="0.3">
      <c r="A18" s="3" t="str">
        <f t="shared" si="0"/>
        <v>cobas 8000</v>
      </c>
      <c r="B18" s="3">
        <v>2</v>
      </c>
      <c r="C18" s="3" t="s">
        <v>5</v>
      </c>
      <c r="D18" s="3" t="s">
        <v>75</v>
      </c>
      <c r="E18" s="6" t="s">
        <v>97</v>
      </c>
      <c r="F18" s="3" t="s">
        <v>70</v>
      </c>
      <c r="G18" s="3">
        <v>7</v>
      </c>
    </row>
    <row r="19" spans="1:7" ht="19.8" customHeight="1" x14ac:dyDescent="0.3">
      <c r="A19" s="3" t="str">
        <f t="shared" si="0"/>
        <v>cobas 8000</v>
      </c>
      <c r="B19" s="3">
        <v>2</v>
      </c>
      <c r="C19" s="3" t="s">
        <v>5</v>
      </c>
      <c r="D19" s="4" t="s">
        <v>0</v>
      </c>
      <c r="E19" s="6" t="s">
        <v>98</v>
      </c>
      <c r="F19" s="3" t="s">
        <v>69</v>
      </c>
      <c r="G19" s="3">
        <v>7</v>
      </c>
    </row>
    <row r="20" spans="1:7" ht="19.8" customHeight="1" x14ac:dyDescent="0.3">
      <c r="A20" s="3" t="str">
        <f t="shared" si="0"/>
        <v>cobas 8000</v>
      </c>
      <c r="B20" s="3">
        <v>2</v>
      </c>
      <c r="C20" s="3" t="s">
        <v>5</v>
      </c>
      <c r="D20" s="3" t="s">
        <v>1</v>
      </c>
      <c r="E20" s="6" t="s">
        <v>118</v>
      </c>
      <c r="F20" s="3" t="s">
        <v>70</v>
      </c>
      <c r="G20" s="3">
        <v>7</v>
      </c>
    </row>
    <row r="21" spans="1:7" ht="19.8" customHeight="1" x14ac:dyDescent="0.3">
      <c r="A21" s="3" t="str">
        <f t="shared" si="0"/>
        <v>cobas 8000</v>
      </c>
      <c r="B21" s="3">
        <v>3</v>
      </c>
      <c r="C21" s="3" t="s">
        <v>6</v>
      </c>
      <c r="D21" s="3" t="s">
        <v>68</v>
      </c>
      <c r="E21" s="6" t="s">
        <v>128</v>
      </c>
      <c r="F21" s="3" t="s">
        <v>70</v>
      </c>
      <c r="G21" s="3">
        <v>14</v>
      </c>
    </row>
    <row r="22" spans="1:7" ht="19.8" customHeight="1" x14ac:dyDescent="0.3">
      <c r="A22" s="3" t="str">
        <f t="shared" si="0"/>
        <v>cobas 8000</v>
      </c>
      <c r="B22" s="3">
        <v>3</v>
      </c>
      <c r="C22" s="3" t="s">
        <v>6</v>
      </c>
      <c r="D22" s="3" t="s">
        <v>66</v>
      </c>
      <c r="E22" s="6" t="s">
        <v>117</v>
      </c>
      <c r="F22" s="3" t="s">
        <v>67</v>
      </c>
      <c r="G22" s="3">
        <v>14</v>
      </c>
    </row>
    <row r="23" spans="1:7" ht="19.8" customHeight="1" x14ac:dyDescent="0.3">
      <c r="A23" s="3" t="str">
        <f t="shared" si="0"/>
        <v>cobas 8000</v>
      </c>
      <c r="B23" s="3">
        <v>3</v>
      </c>
      <c r="C23" s="3" t="s">
        <v>6</v>
      </c>
      <c r="D23" s="5" t="s">
        <v>69</v>
      </c>
      <c r="E23" s="7" t="s">
        <v>129</v>
      </c>
      <c r="F23" s="5" t="s">
        <v>67</v>
      </c>
      <c r="G23" s="3">
        <v>14</v>
      </c>
    </row>
    <row r="24" spans="1:7" ht="19.8" customHeight="1" x14ac:dyDescent="0.3">
      <c r="A24" s="3" t="str">
        <f t="shared" si="0"/>
        <v>cobas 8000</v>
      </c>
      <c r="B24" s="3">
        <v>3</v>
      </c>
      <c r="C24" s="3" t="s">
        <v>6</v>
      </c>
      <c r="D24" s="5" t="s">
        <v>3</v>
      </c>
      <c r="E24" s="7" t="s">
        <v>99</v>
      </c>
      <c r="F24" s="5" t="s">
        <v>67</v>
      </c>
      <c r="G24" s="3">
        <v>14</v>
      </c>
    </row>
    <row r="25" spans="1:7" ht="19.8" customHeight="1" x14ac:dyDescent="0.3">
      <c r="A25" s="3" t="str">
        <f t="shared" si="0"/>
        <v>cobas 8000</v>
      </c>
      <c r="B25" s="3">
        <v>3</v>
      </c>
      <c r="C25" s="3" t="s">
        <v>6</v>
      </c>
      <c r="D25" s="3" t="s">
        <v>70</v>
      </c>
      <c r="E25" s="6" t="s">
        <v>37</v>
      </c>
      <c r="F25" s="3" t="s">
        <v>67</v>
      </c>
      <c r="G25" s="3">
        <v>14</v>
      </c>
    </row>
    <row r="26" spans="1:7" ht="19.8" customHeight="1" x14ac:dyDescent="0.3">
      <c r="A26" s="3" t="str">
        <f t="shared" si="0"/>
        <v>cobas 8000</v>
      </c>
      <c r="B26" s="3">
        <v>3</v>
      </c>
      <c r="C26" s="3" t="s">
        <v>6</v>
      </c>
      <c r="D26" s="3" t="s">
        <v>71</v>
      </c>
      <c r="E26" s="6" t="s">
        <v>38</v>
      </c>
      <c r="F26" s="3" t="s">
        <v>67</v>
      </c>
      <c r="G26" s="3">
        <v>14</v>
      </c>
    </row>
    <row r="27" spans="1:7" ht="19.8" customHeight="1" x14ac:dyDescent="0.3">
      <c r="A27" s="3" t="str">
        <f t="shared" si="0"/>
        <v>cobas 8000</v>
      </c>
      <c r="B27" s="3">
        <v>4</v>
      </c>
      <c r="C27" s="3" t="s">
        <v>7</v>
      </c>
      <c r="D27" s="5" t="s">
        <v>68</v>
      </c>
      <c r="E27" s="7" t="s">
        <v>175</v>
      </c>
      <c r="F27" s="5" t="s">
        <v>70</v>
      </c>
      <c r="G27" s="3">
        <v>28</v>
      </c>
    </row>
    <row r="28" spans="1:7" ht="19.8" customHeight="1" x14ac:dyDescent="0.3">
      <c r="A28" s="3" t="str">
        <f t="shared" si="0"/>
        <v>cobas 8000</v>
      </c>
      <c r="B28" s="3">
        <v>4</v>
      </c>
      <c r="C28" s="3" t="s">
        <v>7</v>
      </c>
      <c r="D28" s="5" t="s">
        <v>68</v>
      </c>
      <c r="E28" s="7" t="s">
        <v>176</v>
      </c>
      <c r="F28" s="5" t="s">
        <v>70</v>
      </c>
      <c r="G28" s="3">
        <v>28</v>
      </c>
    </row>
    <row r="29" spans="1:7" ht="19.8" customHeight="1" x14ac:dyDescent="0.3">
      <c r="A29" s="3" t="str">
        <f t="shared" si="0"/>
        <v>cobas 8000</v>
      </c>
      <c r="B29" s="3">
        <v>4</v>
      </c>
      <c r="C29" s="3" t="s">
        <v>7</v>
      </c>
      <c r="D29" s="3" t="s">
        <v>66</v>
      </c>
      <c r="E29" s="6" t="s">
        <v>130</v>
      </c>
      <c r="F29" s="3" t="s">
        <v>69</v>
      </c>
      <c r="G29" s="3">
        <v>28</v>
      </c>
    </row>
    <row r="30" spans="1:7" ht="19.8" customHeight="1" x14ac:dyDescent="0.3">
      <c r="A30" s="3" t="str">
        <f t="shared" si="0"/>
        <v>cobas 8000</v>
      </c>
      <c r="B30" s="3">
        <v>4</v>
      </c>
      <c r="C30" s="3" t="s">
        <v>7</v>
      </c>
      <c r="D30" s="3" t="s">
        <v>69</v>
      </c>
      <c r="E30" s="6" t="s">
        <v>84</v>
      </c>
      <c r="F30" s="3" t="s">
        <v>76</v>
      </c>
      <c r="G30" s="3">
        <v>28</v>
      </c>
    </row>
    <row r="31" spans="1:7" ht="19.8" customHeight="1" x14ac:dyDescent="0.3">
      <c r="A31" s="3" t="str">
        <f t="shared" si="0"/>
        <v>cobas 8000</v>
      </c>
      <c r="B31" s="9">
        <v>4</v>
      </c>
      <c r="C31" s="3" t="s">
        <v>7</v>
      </c>
      <c r="D31" s="9" t="s">
        <v>3</v>
      </c>
      <c r="E31" s="10" t="s">
        <v>85</v>
      </c>
      <c r="F31" s="9" t="s">
        <v>67</v>
      </c>
      <c r="G31" s="9">
        <v>28</v>
      </c>
    </row>
    <row r="32" spans="1:7" ht="19.8" customHeight="1" x14ac:dyDescent="0.3">
      <c r="A32" s="3" t="str">
        <f t="shared" si="0"/>
        <v>cobas 8000</v>
      </c>
      <c r="B32" s="3">
        <v>4</v>
      </c>
      <c r="C32" s="3" t="s">
        <v>7</v>
      </c>
      <c r="D32" s="3" t="s">
        <v>70</v>
      </c>
      <c r="E32" s="6" t="s">
        <v>86</v>
      </c>
      <c r="F32" s="3" t="s">
        <v>76</v>
      </c>
      <c r="G32" s="3">
        <v>28</v>
      </c>
    </row>
    <row r="33" spans="1:7" ht="19.8" customHeight="1" x14ac:dyDescent="0.3">
      <c r="A33" s="3" t="str">
        <f t="shared" si="0"/>
        <v>cobas 8000</v>
      </c>
      <c r="B33" s="3">
        <v>4</v>
      </c>
      <c r="C33" s="3" t="s">
        <v>7</v>
      </c>
      <c r="D33" s="3" t="s">
        <v>71</v>
      </c>
      <c r="E33" s="6" t="s">
        <v>100</v>
      </c>
      <c r="F33" s="3" t="s">
        <v>76</v>
      </c>
      <c r="G33" s="3">
        <v>28</v>
      </c>
    </row>
    <row r="34" spans="1:7" ht="19.8" customHeight="1" x14ac:dyDescent="0.3">
      <c r="A34" s="3" t="str">
        <f t="shared" si="0"/>
        <v>cobas 8000</v>
      </c>
      <c r="B34" s="3">
        <v>4</v>
      </c>
      <c r="C34" s="3" t="s">
        <v>7</v>
      </c>
      <c r="D34" s="3" t="s">
        <v>72</v>
      </c>
      <c r="E34" s="6" t="s">
        <v>87</v>
      </c>
      <c r="F34" s="3" t="s">
        <v>67</v>
      </c>
      <c r="G34" s="3">
        <v>28</v>
      </c>
    </row>
    <row r="35" spans="1:7" ht="19.8" customHeight="1" x14ac:dyDescent="0.3">
      <c r="A35" s="3" t="str">
        <f t="shared" si="0"/>
        <v>cobas 8000</v>
      </c>
      <c r="B35" s="3">
        <v>5</v>
      </c>
      <c r="C35" s="3" t="s">
        <v>8</v>
      </c>
      <c r="D35" s="3" t="s">
        <v>68</v>
      </c>
      <c r="E35" s="6" t="s">
        <v>101</v>
      </c>
      <c r="F35" s="3" t="s">
        <v>76</v>
      </c>
      <c r="G35" s="3">
        <v>56</v>
      </c>
    </row>
    <row r="36" spans="1:7" ht="19.8" customHeight="1" x14ac:dyDescent="0.3">
      <c r="A36" s="3" t="str">
        <f t="shared" si="0"/>
        <v>cobas 8000</v>
      </c>
      <c r="B36" s="3">
        <v>6</v>
      </c>
      <c r="C36" s="3" t="s">
        <v>9</v>
      </c>
      <c r="D36" s="3" t="s">
        <v>68</v>
      </c>
      <c r="E36" s="6" t="s">
        <v>102</v>
      </c>
      <c r="F36" s="3" t="s">
        <v>67</v>
      </c>
      <c r="G36" s="3">
        <v>84</v>
      </c>
    </row>
    <row r="37" spans="1:7" ht="19.8" customHeight="1" x14ac:dyDescent="0.3">
      <c r="A37" s="3" t="str">
        <f t="shared" si="0"/>
        <v>cobas 8000</v>
      </c>
      <c r="B37" s="3">
        <v>6</v>
      </c>
      <c r="C37" s="3" t="s">
        <v>9</v>
      </c>
      <c r="D37" s="3" t="s">
        <v>66</v>
      </c>
      <c r="E37" s="6" t="s">
        <v>39</v>
      </c>
      <c r="F37" s="3" t="s">
        <v>76</v>
      </c>
      <c r="G37" s="3">
        <v>84</v>
      </c>
    </row>
    <row r="38" spans="1:7" ht="19.8" customHeight="1" x14ac:dyDescent="0.3">
      <c r="A38" s="3" t="str">
        <f t="shared" si="0"/>
        <v>cobas 8000</v>
      </c>
      <c r="B38" s="3">
        <v>6</v>
      </c>
      <c r="C38" s="3" t="s">
        <v>9</v>
      </c>
      <c r="D38" s="3" t="s">
        <v>69</v>
      </c>
      <c r="E38" s="6" t="s">
        <v>103</v>
      </c>
      <c r="F38" s="3" t="s">
        <v>67</v>
      </c>
      <c r="G38" s="3">
        <v>84</v>
      </c>
    </row>
    <row r="39" spans="1:7" ht="19.8" customHeight="1" x14ac:dyDescent="0.3">
      <c r="A39" s="3" t="str">
        <f t="shared" si="0"/>
        <v>cobas 8000</v>
      </c>
      <c r="B39" s="3">
        <v>6</v>
      </c>
      <c r="C39" s="3" t="s">
        <v>9</v>
      </c>
      <c r="D39" s="3" t="s">
        <v>3</v>
      </c>
      <c r="E39" s="6" t="s">
        <v>131</v>
      </c>
      <c r="F39" s="3" t="s">
        <v>76</v>
      </c>
      <c r="G39" s="3">
        <v>84</v>
      </c>
    </row>
    <row r="40" spans="1:7" ht="19.8" customHeight="1" x14ac:dyDescent="0.3">
      <c r="A40" s="3" t="str">
        <f t="shared" si="0"/>
        <v>cobas 8000</v>
      </c>
      <c r="B40" s="3">
        <v>7</v>
      </c>
      <c r="C40" s="3" t="s">
        <v>10</v>
      </c>
      <c r="D40" s="3" t="s">
        <v>68</v>
      </c>
      <c r="E40" s="6" t="s">
        <v>132</v>
      </c>
      <c r="F40" s="3" t="s">
        <v>67</v>
      </c>
      <c r="G40" s="3">
        <v>168</v>
      </c>
    </row>
    <row r="41" spans="1:7" ht="19.8" customHeight="1" x14ac:dyDescent="0.3">
      <c r="A41" s="3" t="str">
        <f t="shared" si="0"/>
        <v>cobas 8000</v>
      </c>
      <c r="B41" s="3">
        <v>7</v>
      </c>
      <c r="C41" s="3" t="s">
        <v>10</v>
      </c>
      <c r="D41" s="3" t="s">
        <v>66</v>
      </c>
      <c r="E41" s="6" t="s">
        <v>104</v>
      </c>
      <c r="F41" s="3" t="s">
        <v>76</v>
      </c>
      <c r="G41" s="3">
        <v>168</v>
      </c>
    </row>
    <row r="42" spans="1:7" ht="19.8" customHeight="1" x14ac:dyDescent="0.3">
      <c r="A42" s="3" t="str">
        <f t="shared" si="0"/>
        <v>cobas 8000</v>
      </c>
      <c r="B42" s="3">
        <v>7</v>
      </c>
      <c r="C42" s="3" t="s">
        <v>10</v>
      </c>
      <c r="D42" s="3" t="s">
        <v>69</v>
      </c>
      <c r="E42" s="6" t="s">
        <v>40</v>
      </c>
      <c r="F42" s="3" t="s">
        <v>67</v>
      </c>
      <c r="G42" s="3">
        <v>168</v>
      </c>
    </row>
    <row r="43" spans="1:7" ht="19.8" customHeight="1" x14ac:dyDescent="0.3">
      <c r="A43" s="3" t="str">
        <f t="shared" si="0"/>
        <v>cobas 8000</v>
      </c>
      <c r="B43" s="3">
        <v>8</v>
      </c>
      <c r="C43" s="3" t="s">
        <v>11</v>
      </c>
      <c r="D43" s="3" t="s">
        <v>68</v>
      </c>
      <c r="E43" s="6" t="s">
        <v>105</v>
      </c>
      <c r="F43" s="3" t="s">
        <v>67</v>
      </c>
      <c r="G43" s="3">
        <v>336</v>
      </c>
    </row>
    <row r="44" spans="1:7" ht="19.8" customHeight="1" x14ac:dyDescent="0.3">
      <c r="A44" s="3" t="str">
        <f t="shared" si="0"/>
        <v>cobas 8000</v>
      </c>
      <c r="B44" s="3">
        <v>8</v>
      </c>
      <c r="C44" s="3" t="s">
        <v>11</v>
      </c>
      <c r="D44" s="3" t="s">
        <v>66</v>
      </c>
      <c r="E44" s="6" t="s">
        <v>106</v>
      </c>
      <c r="F44" s="3" t="s">
        <v>70</v>
      </c>
      <c r="G44" s="3">
        <v>999</v>
      </c>
    </row>
  </sheetData>
  <pageMargins left="0.70866141732283472" right="0.70866141732283472" top="0.74803149606299213" bottom="0.74803149606299213" header="0.31496062992125984" footer="0.31496062992125984"/>
  <pageSetup paperSize="9" scale="58" orientation="landscape" horizontalDpi="4294967294" verticalDpi="4294967294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33"/>
  <sheetViews>
    <sheetView zoomScale="80" zoomScaleNormal="80" workbookViewId="0">
      <selection activeCell="L15" sqref="L15"/>
    </sheetView>
  </sheetViews>
  <sheetFormatPr baseColWidth="10" defaultRowHeight="16.5" customHeight="1" x14ac:dyDescent="0.3"/>
  <cols>
    <col min="1" max="1" width="12.33203125" style="1" bestFit="1" customWidth="1"/>
    <col min="2" max="2" width="14.5546875" style="1" bestFit="1" customWidth="1"/>
    <col min="3" max="3" width="31.33203125" style="1" bestFit="1" customWidth="1"/>
    <col min="4" max="4" width="8.77734375" style="1" bestFit="1" customWidth="1"/>
    <col min="5" max="5" width="45.44140625" style="13" bestFit="1" customWidth="1"/>
    <col min="6" max="6" width="13.5546875" style="1" bestFit="1" customWidth="1"/>
    <col min="7" max="7" width="12.88671875" style="1" bestFit="1" customWidth="1"/>
    <col min="8" max="12" width="8.5546875" customWidth="1"/>
    <col min="13" max="13" width="17.109375" customWidth="1"/>
  </cols>
  <sheetData>
    <row r="1" spans="1:7" ht="20.25" customHeight="1" x14ac:dyDescent="0.3">
      <c r="A1" s="1" t="s">
        <v>134</v>
      </c>
      <c r="B1" s="1" t="s">
        <v>140</v>
      </c>
      <c r="C1" s="1" t="s">
        <v>135</v>
      </c>
      <c r="D1" s="1" t="s">
        <v>136</v>
      </c>
      <c r="E1" s="13" t="s">
        <v>137</v>
      </c>
      <c r="F1" s="1" t="s">
        <v>138</v>
      </c>
      <c r="G1" s="1" t="s">
        <v>139</v>
      </c>
    </row>
    <row r="2" spans="1:7" ht="16.5" customHeight="1" x14ac:dyDescent="0.3">
      <c r="A2" s="1" t="s">
        <v>143</v>
      </c>
      <c r="B2" s="1">
        <v>1</v>
      </c>
      <c r="C2" s="13" t="s">
        <v>42</v>
      </c>
      <c r="D2" s="1" t="s">
        <v>68</v>
      </c>
      <c r="E2" s="13" t="s">
        <v>88</v>
      </c>
      <c r="F2" s="1" t="s">
        <v>70</v>
      </c>
      <c r="G2" s="1">
        <v>1</v>
      </c>
    </row>
    <row r="3" spans="1:7" ht="16.5" customHeight="1" x14ac:dyDescent="0.3">
      <c r="A3" s="1" t="s">
        <v>143</v>
      </c>
      <c r="B3" s="1">
        <v>1</v>
      </c>
      <c r="C3" s="13" t="s">
        <v>42</v>
      </c>
      <c r="D3" s="1" t="s">
        <v>66</v>
      </c>
      <c r="E3" s="13" t="s">
        <v>91</v>
      </c>
      <c r="F3" s="1" t="s">
        <v>70</v>
      </c>
      <c r="G3" s="1">
        <v>1</v>
      </c>
    </row>
    <row r="4" spans="1:7" ht="16.5" customHeight="1" x14ac:dyDescent="0.3">
      <c r="A4" s="1" t="s">
        <v>143</v>
      </c>
      <c r="B4" s="1">
        <v>1</v>
      </c>
      <c r="C4" s="13" t="s">
        <v>42</v>
      </c>
      <c r="D4" s="1" t="s">
        <v>69</v>
      </c>
      <c r="E4" s="13" t="s">
        <v>51</v>
      </c>
      <c r="F4" s="1" t="s">
        <v>70</v>
      </c>
      <c r="G4" s="1">
        <v>1</v>
      </c>
    </row>
    <row r="5" spans="1:7" ht="16.5" customHeight="1" x14ac:dyDescent="0.3">
      <c r="A5" s="1" t="s">
        <v>143</v>
      </c>
      <c r="B5" s="1">
        <v>1</v>
      </c>
      <c r="C5" s="13" t="s">
        <v>42</v>
      </c>
      <c r="D5" s="1" t="s">
        <v>3</v>
      </c>
      <c r="E5" s="13" t="s">
        <v>52</v>
      </c>
      <c r="F5" s="1" t="s">
        <v>70</v>
      </c>
      <c r="G5" s="1">
        <v>1</v>
      </c>
    </row>
    <row r="6" spans="1:7" ht="16.5" customHeight="1" x14ac:dyDescent="0.3">
      <c r="A6" s="1" t="s">
        <v>143</v>
      </c>
      <c r="B6" s="1">
        <v>1</v>
      </c>
      <c r="C6" s="13" t="s">
        <v>42</v>
      </c>
      <c r="D6" s="1" t="s">
        <v>70</v>
      </c>
      <c r="E6" s="13" t="s">
        <v>89</v>
      </c>
      <c r="F6" s="1" t="s">
        <v>70</v>
      </c>
      <c r="G6" s="1">
        <v>1</v>
      </c>
    </row>
    <row r="7" spans="1:7" ht="16.5" customHeight="1" x14ac:dyDescent="0.3">
      <c r="A7" s="1" t="s">
        <v>143</v>
      </c>
      <c r="B7" s="1">
        <v>1</v>
      </c>
      <c r="C7" s="13" t="s">
        <v>42</v>
      </c>
      <c r="D7" s="1" t="s">
        <v>71</v>
      </c>
      <c r="E7" s="13" t="s">
        <v>53</v>
      </c>
      <c r="F7" s="1" t="s">
        <v>70</v>
      </c>
      <c r="G7" s="1">
        <v>1</v>
      </c>
    </row>
    <row r="8" spans="1:7" ht="16.5" customHeight="1" x14ac:dyDescent="0.3">
      <c r="A8" s="1" t="s">
        <v>143</v>
      </c>
      <c r="B8" s="1">
        <v>2</v>
      </c>
      <c r="C8" s="13" t="s">
        <v>43</v>
      </c>
      <c r="D8" s="1" t="s">
        <v>68</v>
      </c>
      <c r="E8" s="13" t="s">
        <v>90</v>
      </c>
      <c r="F8" s="1" t="s">
        <v>70</v>
      </c>
      <c r="G8" s="1">
        <v>7</v>
      </c>
    </row>
    <row r="9" spans="1:7" ht="16.5" customHeight="1" x14ac:dyDescent="0.3">
      <c r="A9" s="1" t="s">
        <v>143</v>
      </c>
      <c r="B9" s="1">
        <v>2</v>
      </c>
      <c r="C9" s="13" t="s">
        <v>43</v>
      </c>
      <c r="D9" s="1" t="s">
        <v>66</v>
      </c>
      <c r="E9" s="13" t="s">
        <v>54</v>
      </c>
      <c r="F9" s="1" t="s">
        <v>70</v>
      </c>
      <c r="G9" s="1">
        <v>7</v>
      </c>
    </row>
    <row r="10" spans="1:7" ht="16.5" customHeight="1" x14ac:dyDescent="0.3">
      <c r="A10" s="1" t="s">
        <v>143</v>
      </c>
      <c r="B10" s="1">
        <v>2</v>
      </c>
      <c r="C10" s="13" t="s">
        <v>43</v>
      </c>
      <c r="D10" s="1" t="s">
        <v>69</v>
      </c>
      <c r="E10" s="13" t="s">
        <v>55</v>
      </c>
      <c r="F10" s="1" t="s">
        <v>67</v>
      </c>
      <c r="G10" s="1">
        <v>7</v>
      </c>
    </row>
    <row r="11" spans="1:7" ht="16.5" customHeight="1" x14ac:dyDescent="0.3">
      <c r="A11" s="1" t="s">
        <v>143</v>
      </c>
      <c r="B11" s="1">
        <v>2</v>
      </c>
      <c r="C11" s="13" t="s">
        <v>43</v>
      </c>
      <c r="D11" s="1" t="s">
        <v>3</v>
      </c>
      <c r="E11" s="13" t="s">
        <v>56</v>
      </c>
      <c r="F11" s="1" t="s">
        <v>67</v>
      </c>
      <c r="G11" s="1">
        <v>7</v>
      </c>
    </row>
    <row r="12" spans="1:7" ht="16.5" customHeight="1" x14ac:dyDescent="0.3">
      <c r="A12" s="1" t="s">
        <v>143</v>
      </c>
      <c r="B12" s="1">
        <v>2</v>
      </c>
      <c r="C12" s="13" t="s">
        <v>43</v>
      </c>
      <c r="D12" s="1" t="s">
        <v>70</v>
      </c>
      <c r="E12" s="13" t="s">
        <v>119</v>
      </c>
      <c r="F12" s="1" t="s">
        <v>70</v>
      </c>
      <c r="G12" s="1">
        <v>7</v>
      </c>
    </row>
    <row r="13" spans="1:7" ht="16.5" customHeight="1" x14ac:dyDescent="0.3">
      <c r="A13" s="1" t="s">
        <v>143</v>
      </c>
      <c r="B13" s="1">
        <v>3</v>
      </c>
      <c r="C13" s="13" t="s">
        <v>44</v>
      </c>
      <c r="D13" s="1" t="s">
        <v>68</v>
      </c>
      <c r="E13" s="13" t="s">
        <v>107</v>
      </c>
      <c r="F13" s="1" t="s">
        <v>67</v>
      </c>
      <c r="G13" s="1">
        <v>28</v>
      </c>
    </row>
    <row r="14" spans="1:7" ht="16.5" customHeight="1" x14ac:dyDescent="0.3">
      <c r="A14" s="1" t="s">
        <v>143</v>
      </c>
      <c r="B14" s="1">
        <v>3</v>
      </c>
      <c r="C14" s="13" t="s">
        <v>44</v>
      </c>
      <c r="D14" s="1" t="s">
        <v>66</v>
      </c>
      <c r="E14" s="13" t="s">
        <v>57</v>
      </c>
      <c r="F14" s="1" t="s">
        <v>67</v>
      </c>
      <c r="G14" s="1">
        <v>28</v>
      </c>
    </row>
    <row r="15" spans="1:7" ht="16.5" customHeight="1" x14ac:dyDescent="0.3">
      <c r="A15" s="1" t="s">
        <v>143</v>
      </c>
      <c r="B15" s="1">
        <v>4</v>
      </c>
      <c r="C15" s="13" t="s">
        <v>45</v>
      </c>
      <c r="D15" s="1" t="s">
        <v>68</v>
      </c>
      <c r="E15" s="13" t="s">
        <v>108</v>
      </c>
      <c r="F15" s="1" t="s">
        <v>67</v>
      </c>
      <c r="G15" s="1">
        <v>84</v>
      </c>
    </row>
    <row r="16" spans="1:7" ht="16.5" customHeight="1" x14ac:dyDescent="0.3">
      <c r="A16" s="1" t="s">
        <v>143</v>
      </c>
      <c r="B16" s="1">
        <v>4</v>
      </c>
      <c r="C16" s="13" t="s">
        <v>45</v>
      </c>
      <c r="D16" s="1" t="s">
        <v>66</v>
      </c>
      <c r="E16" s="13" t="s">
        <v>59</v>
      </c>
      <c r="F16" s="1" t="s">
        <v>76</v>
      </c>
      <c r="G16" s="1">
        <v>84</v>
      </c>
    </row>
    <row r="17" spans="1:7" ht="16.5" customHeight="1" x14ac:dyDescent="0.3">
      <c r="A17" s="1" t="s">
        <v>143</v>
      </c>
      <c r="B17" s="1">
        <v>4</v>
      </c>
      <c r="C17" s="13" t="s">
        <v>45</v>
      </c>
      <c r="D17" s="1" t="s">
        <v>69</v>
      </c>
      <c r="E17" s="13" t="s">
        <v>58</v>
      </c>
      <c r="F17" s="1" t="s">
        <v>76</v>
      </c>
      <c r="G17" s="1">
        <v>84</v>
      </c>
    </row>
    <row r="18" spans="1:7" ht="16.5" customHeight="1" x14ac:dyDescent="0.3">
      <c r="A18" s="1" t="s">
        <v>143</v>
      </c>
      <c r="B18" s="1">
        <v>4</v>
      </c>
      <c r="C18" s="13" t="s">
        <v>45</v>
      </c>
      <c r="D18" s="1" t="s">
        <v>3</v>
      </c>
      <c r="E18" s="13" t="s">
        <v>60</v>
      </c>
      <c r="F18" s="1" t="s">
        <v>67</v>
      </c>
      <c r="G18" s="1">
        <v>84</v>
      </c>
    </row>
    <row r="19" spans="1:7" ht="16.5" customHeight="1" x14ac:dyDescent="0.3">
      <c r="A19" s="1" t="s">
        <v>143</v>
      </c>
      <c r="B19" s="1">
        <v>4</v>
      </c>
      <c r="C19" s="13" t="s">
        <v>45</v>
      </c>
      <c r="D19" s="1" t="s">
        <v>70</v>
      </c>
      <c r="E19" s="13" t="s">
        <v>114</v>
      </c>
      <c r="F19" s="1" t="s">
        <v>76</v>
      </c>
      <c r="G19" s="1">
        <v>84</v>
      </c>
    </row>
    <row r="20" spans="1:7" ht="16.5" customHeight="1" x14ac:dyDescent="0.3">
      <c r="A20" s="1" t="s">
        <v>143</v>
      </c>
      <c r="B20" s="1">
        <v>5</v>
      </c>
      <c r="C20" s="13" t="s">
        <v>115</v>
      </c>
      <c r="D20" s="1" t="s">
        <v>68</v>
      </c>
      <c r="E20" s="13" t="s">
        <v>116</v>
      </c>
      <c r="F20" s="1" t="s">
        <v>76</v>
      </c>
      <c r="G20" s="1">
        <v>112</v>
      </c>
    </row>
    <row r="21" spans="1:7" ht="16.5" customHeight="1" x14ac:dyDescent="0.3">
      <c r="A21" s="1" t="s">
        <v>143</v>
      </c>
      <c r="B21" s="1">
        <v>6</v>
      </c>
      <c r="C21" s="13" t="s">
        <v>46</v>
      </c>
      <c r="D21" s="1" t="s">
        <v>68</v>
      </c>
      <c r="E21" s="13" t="s">
        <v>63</v>
      </c>
      <c r="F21" s="1" t="s">
        <v>67</v>
      </c>
      <c r="G21" s="1">
        <v>168</v>
      </c>
    </row>
    <row r="22" spans="1:7" ht="16.5" customHeight="1" x14ac:dyDescent="0.3">
      <c r="A22" s="1" t="s">
        <v>143</v>
      </c>
      <c r="B22" s="1">
        <v>6</v>
      </c>
      <c r="C22" s="13" t="s">
        <v>46</v>
      </c>
      <c r="D22" s="1" t="s">
        <v>66</v>
      </c>
      <c r="E22" s="13" t="s">
        <v>64</v>
      </c>
      <c r="F22" s="1" t="s">
        <v>67</v>
      </c>
      <c r="G22" s="1">
        <v>168</v>
      </c>
    </row>
    <row r="23" spans="1:7" ht="16.5" customHeight="1" x14ac:dyDescent="0.3">
      <c r="A23" s="1" t="s">
        <v>143</v>
      </c>
      <c r="B23" s="1">
        <v>6</v>
      </c>
      <c r="C23" s="13" t="s">
        <v>46</v>
      </c>
      <c r="D23" s="1" t="s">
        <v>69</v>
      </c>
      <c r="E23" s="13" t="s">
        <v>65</v>
      </c>
      <c r="F23" s="1" t="s">
        <v>76</v>
      </c>
      <c r="G23" s="1">
        <v>168</v>
      </c>
    </row>
    <row r="24" spans="1:7" ht="16.5" customHeight="1" x14ac:dyDescent="0.3">
      <c r="A24" s="1" t="s">
        <v>143</v>
      </c>
      <c r="B24" s="1">
        <v>6</v>
      </c>
      <c r="C24" s="13" t="s">
        <v>46</v>
      </c>
      <c r="D24" s="1" t="s">
        <v>3</v>
      </c>
      <c r="E24" s="13" t="s">
        <v>113</v>
      </c>
      <c r="F24" s="1" t="s">
        <v>76</v>
      </c>
      <c r="G24" s="1">
        <v>168</v>
      </c>
    </row>
    <row r="25" spans="1:7" ht="16.5" customHeight="1" x14ac:dyDescent="0.3">
      <c r="A25" s="1" t="s">
        <v>143</v>
      </c>
      <c r="B25" s="1">
        <v>6</v>
      </c>
      <c r="C25" s="13" t="s">
        <v>46</v>
      </c>
      <c r="D25" s="1" t="s">
        <v>70</v>
      </c>
      <c r="E25" s="13" t="s">
        <v>110</v>
      </c>
      <c r="F25" s="1" t="s">
        <v>76</v>
      </c>
      <c r="G25" s="1">
        <v>168</v>
      </c>
    </row>
    <row r="26" spans="1:7" ht="16.5" customHeight="1" x14ac:dyDescent="0.3">
      <c r="A26" s="1" t="s">
        <v>143</v>
      </c>
      <c r="B26" s="1">
        <v>6</v>
      </c>
      <c r="C26" s="13" t="s">
        <v>46</v>
      </c>
      <c r="D26" s="1" t="s">
        <v>71</v>
      </c>
      <c r="E26" s="13" t="s">
        <v>111</v>
      </c>
      <c r="F26" s="1" t="s">
        <v>76</v>
      </c>
      <c r="G26" s="1">
        <v>168</v>
      </c>
    </row>
    <row r="27" spans="1:7" ht="16.5" customHeight="1" x14ac:dyDescent="0.3">
      <c r="A27" s="1" t="s">
        <v>143</v>
      </c>
      <c r="B27" s="1">
        <v>6</v>
      </c>
      <c r="C27" s="13" t="s">
        <v>46</v>
      </c>
      <c r="D27" s="1" t="s">
        <v>72</v>
      </c>
      <c r="E27" s="13" t="s">
        <v>112</v>
      </c>
      <c r="F27" s="1" t="s">
        <v>70</v>
      </c>
      <c r="G27" s="1">
        <v>168</v>
      </c>
    </row>
    <row r="28" spans="1:7" ht="16.5" customHeight="1" x14ac:dyDescent="0.3">
      <c r="A28" s="1" t="s">
        <v>143</v>
      </c>
      <c r="B28" s="1">
        <v>7</v>
      </c>
      <c r="C28" s="13" t="s">
        <v>61</v>
      </c>
      <c r="D28" s="1" t="s">
        <v>68</v>
      </c>
      <c r="E28" s="13" t="s">
        <v>109</v>
      </c>
      <c r="F28" s="1" t="s">
        <v>76</v>
      </c>
      <c r="G28" s="1">
        <v>728</v>
      </c>
    </row>
    <row r="29" spans="1:7" ht="16.5" customHeight="1" x14ac:dyDescent="0.3">
      <c r="A29" s="1" t="s">
        <v>143</v>
      </c>
      <c r="B29" s="1">
        <v>8</v>
      </c>
      <c r="C29" s="13" t="s">
        <v>47</v>
      </c>
      <c r="D29" s="1" t="s">
        <v>68</v>
      </c>
      <c r="E29" s="13" t="s">
        <v>144</v>
      </c>
      <c r="F29" s="1" t="s">
        <v>76</v>
      </c>
      <c r="G29" s="1">
        <v>999</v>
      </c>
    </row>
    <row r="30" spans="1:7" ht="16.5" customHeight="1" x14ac:dyDescent="0.3">
      <c r="A30" s="1" t="s">
        <v>143</v>
      </c>
      <c r="B30" s="1">
        <v>8</v>
      </c>
      <c r="C30" s="13" t="s">
        <v>47</v>
      </c>
      <c r="D30" s="1" t="s">
        <v>66</v>
      </c>
      <c r="E30" s="13" t="s">
        <v>62</v>
      </c>
      <c r="F30" s="1" t="s">
        <v>76</v>
      </c>
      <c r="G30" s="1">
        <v>999</v>
      </c>
    </row>
    <row r="31" spans="1:7" ht="16.5" customHeight="1" x14ac:dyDescent="0.3">
      <c r="A31" s="1" t="s">
        <v>143</v>
      </c>
      <c r="B31" s="1">
        <v>9</v>
      </c>
      <c r="C31" s="13" t="s">
        <v>41</v>
      </c>
      <c r="D31" s="1" t="s">
        <v>68</v>
      </c>
      <c r="E31" s="13" t="s">
        <v>48</v>
      </c>
      <c r="F31" s="1" t="s">
        <v>76</v>
      </c>
      <c r="G31" s="1">
        <v>999</v>
      </c>
    </row>
    <row r="32" spans="1:7" ht="16.5" customHeight="1" x14ac:dyDescent="0.3">
      <c r="A32" s="1" t="s">
        <v>143</v>
      </c>
      <c r="B32" s="1">
        <v>9</v>
      </c>
      <c r="C32" s="13" t="s">
        <v>41</v>
      </c>
      <c r="D32" s="1" t="s">
        <v>66</v>
      </c>
      <c r="E32" s="13" t="s">
        <v>49</v>
      </c>
      <c r="F32" s="1" t="s">
        <v>76</v>
      </c>
      <c r="G32" s="1">
        <v>999</v>
      </c>
    </row>
    <row r="33" spans="1:7" ht="16.5" customHeight="1" x14ac:dyDescent="0.3">
      <c r="A33" s="1" t="s">
        <v>143</v>
      </c>
      <c r="B33" s="1">
        <v>9</v>
      </c>
      <c r="C33" s="13" t="s">
        <v>41</v>
      </c>
      <c r="D33" s="1" t="s">
        <v>69</v>
      </c>
      <c r="E33" s="13" t="s">
        <v>50</v>
      </c>
      <c r="F33" s="1" t="s">
        <v>76</v>
      </c>
      <c r="G33" s="1">
        <v>999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19"/>
  <sheetViews>
    <sheetView zoomScale="140" zoomScaleNormal="140" workbookViewId="0"/>
  </sheetViews>
  <sheetFormatPr baseColWidth="10" defaultRowHeight="14.4" x14ac:dyDescent="0.3"/>
  <cols>
    <col min="1" max="1" width="11.5546875" style="14"/>
  </cols>
  <sheetData>
    <row r="1" spans="1:2" x14ac:dyDescent="0.3">
      <c r="A1" s="14" t="s">
        <v>160</v>
      </c>
      <c r="B1" t="s">
        <v>146</v>
      </c>
    </row>
    <row r="2" spans="1:2" x14ac:dyDescent="0.3">
      <c r="A2" s="14" t="s">
        <v>160</v>
      </c>
      <c r="B2" t="s">
        <v>159</v>
      </c>
    </row>
    <row r="3" spans="1:2" x14ac:dyDescent="0.3">
      <c r="A3" s="14" t="s">
        <v>160</v>
      </c>
      <c r="B3" t="s">
        <v>147</v>
      </c>
    </row>
    <row r="7" spans="1:2" x14ac:dyDescent="0.3">
      <c r="B7" s="13" t="s">
        <v>148</v>
      </c>
    </row>
    <row r="8" spans="1:2" x14ac:dyDescent="0.3">
      <c r="B8" s="13" t="s">
        <v>149</v>
      </c>
    </row>
    <row r="9" spans="1:2" x14ac:dyDescent="0.3">
      <c r="B9" s="13" t="s">
        <v>150</v>
      </c>
    </row>
    <row r="10" spans="1:2" x14ac:dyDescent="0.3">
      <c r="B10" s="13" t="s">
        <v>151</v>
      </c>
    </row>
    <row r="11" spans="1:2" x14ac:dyDescent="0.3">
      <c r="B11" s="13" t="s">
        <v>152</v>
      </c>
    </row>
    <row r="12" spans="1:2" x14ac:dyDescent="0.3">
      <c r="B12" s="13" t="s">
        <v>153</v>
      </c>
    </row>
    <row r="13" spans="1:2" x14ac:dyDescent="0.3">
      <c r="B13" s="13" t="s">
        <v>154</v>
      </c>
    </row>
    <row r="15" spans="1:2" x14ac:dyDescent="0.3">
      <c r="A15" s="14" t="s">
        <v>160</v>
      </c>
      <c r="B15" t="s">
        <v>155</v>
      </c>
    </row>
    <row r="16" spans="1:2" x14ac:dyDescent="0.3">
      <c r="A16" s="14" t="s">
        <v>160</v>
      </c>
      <c r="B16" t="s">
        <v>156</v>
      </c>
    </row>
    <row r="17" spans="1:2" x14ac:dyDescent="0.3">
      <c r="A17" s="14" t="s">
        <v>160</v>
      </c>
      <c r="B17" t="s">
        <v>157</v>
      </c>
    </row>
    <row r="18" spans="1:2" x14ac:dyDescent="0.3">
      <c r="A18" s="14" t="s">
        <v>160</v>
      </c>
      <c r="B18" t="s">
        <v>158</v>
      </c>
    </row>
    <row r="19" spans="1:2" x14ac:dyDescent="0.3">
      <c r="A19" s="14" t="s">
        <v>160</v>
      </c>
      <c r="B19" t="s">
        <v>174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:G66"/>
  <sheetViews>
    <sheetView workbookViewId="0">
      <selection sqref="A1:XFD66"/>
    </sheetView>
  </sheetViews>
  <sheetFormatPr baseColWidth="10" defaultRowHeight="14.4" x14ac:dyDescent="0.3"/>
  <cols>
    <col min="3" max="3" width="24.5546875" customWidth="1"/>
    <col min="5" max="5" width="53.77734375" bestFit="1" customWidth="1"/>
  </cols>
  <sheetData>
    <row r="1" spans="1:7" x14ac:dyDescent="0.3">
      <c r="A1" t="s">
        <v>178</v>
      </c>
      <c r="B1">
        <v>1</v>
      </c>
      <c r="C1" t="s">
        <v>179</v>
      </c>
      <c r="D1" t="s">
        <v>68</v>
      </c>
      <c r="E1" t="s">
        <v>278</v>
      </c>
      <c r="F1" t="s">
        <v>70</v>
      </c>
      <c r="G1">
        <v>1</v>
      </c>
    </row>
    <row r="2" spans="1:7" x14ac:dyDescent="0.3">
      <c r="A2" t="s">
        <v>178</v>
      </c>
      <c r="B2">
        <v>1</v>
      </c>
      <c r="C2" t="s">
        <v>179</v>
      </c>
      <c r="D2" t="s">
        <v>66</v>
      </c>
      <c r="E2" t="s">
        <v>279</v>
      </c>
      <c r="F2" t="s">
        <v>70</v>
      </c>
      <c r="G2">
        <v>1</v>
      </c>
    </row>
    <row r="3" spans="1:7" x14ac:dyDescent="0.3">
      <c r="A3" t="s">
        <v>178</v>
      </c>
      <c r="B3">
        <v>2</v>
      </c>
      <c r="C3" t="s">
        <v>182</v>
      </c>
      <c r="D3" t="s">
        <v>69</v>
      </c>
      <c r="E3" t="s">
        <v>331</v>
      </c>
      <c r="F3" t="s">
        <v>69</v>
      </c>
      <c r="G3">
        <v>7</v>
      </c>
    </row>
    <row r="4" spans="1:7" x14ac:dyDescent="0.3">
      <c r="A4" t="s">
        <v>178</v>
      </c>
      <c r="B4">
        <v>2</v>
      </c>
      <c r="C4" t="s">
        <v>182</v>
      </c>
      <c r="D4" t="s">
        <v>66</v>
      </c>
      <c r="E4" t="s">
        <v>322</v>
      </c>
      <c r="F4" t="s">
        <v>67</v>
      </c>
      <c r="G4">
        <v>7</v>
      </c>
    </row>
    <row r="5" spans="1:7" x14ac:dyDescent="0.3">
      <c r="A5" t="s">
        <v>178</v>
      </c>
      <c r="B5">
        <v>2</v>
      </c>
      <c r="C5" t="s">
        <v>182</v>
      </c>
      <c r="D5" t="s">
        <v>68</v>
      </c>
      <c r="E5" t="s">
        <v>305</v>
      </c>
      <c r="F5" t="s">
        <v>70</v>
      </c>
      <c r="G5">
        <v>7</v>
      </c>
    </row>
    <row r="6" spans="1:7" x14ac:dyDescent="0.3">
      <c r="A6" t="s">
        <v>178</v>
      </c>
      <c r="B6">
        <v>3</v>
      </c>
      <c r="C6" t="s">
        <v>300</v>
      </c>
      <c r="D6" t="s">
        <v>66</v>
      </c>
      <c r="E6" t="s">
        <v>333</v>
      </c>
      <c r="F6" t="s">
        <v>70</v>
      </c>
      <c r="G6">
        <v>14</v>
      </c>
    </row>
    <row r="7" spans="1:7" x14ac:dyDescent="0.3">
      <c r="A7" t="s">
        <v>178</v>
      </c>
      <c r="B7">
        <v>3</v>
      </c>
      <c r="C7" t="s">
        <v>300</v>
      </c>
      <c r="D7" t="s">
        <v>68</v>
      </c>
      <c r="E7" t="s">
        <v>288</v>
      </c>
      <c r="F7" t="s">
        <v>70</v>
      </c>
      <c r="G7">
        <v>14</v>
      </c>
    </row>
    <row r="8" spans="1:7" x14ac:dyDescent="0.3">
      <c r="A8" t="s">
        <v>178</v>
      </c>
      <c r="B8">
        <v>3</v>
      </c>
      <c r="C8" t="s">
        <v>300</v>
      </c>
      <c r="D8" t="s">
        <v>69</v>
      </c>
      <c r="E8" t="s">
        <v>289</v>
      </c>
      <c r="F8" t="s">
        <v>70</v>
      </c>
      <c r="G8">
        <v>14</v>
      </c>
    </row>
    <row r="9" spans="1:7" x14ac:dyDescent="0.3">
      <c r="A9" t="s">
        <v>178</v>
      </c>
      <c r="B9">
        <v>3</v>
      </c>
      <c r="C9" t="s">
        <v>300</v>
      </c>
      <c r="D9" t="s">
        <v>70</v>
      </c>
      <c r="E9" t="s">
        <v>291</v>
      </c>
      <c r="F9" t="s">
        <v>69</v>
      </c>
      <c r="G9">
        <v>14</v>
      </c>
    </row>
    <row r="10" spans="1:7" x14ac:dyDescent="0.3">
      <c r="A10" t="s">
        <v>178</v>
      </c>
      <c r="B10">
        <v>3</v>
      </c>
      <c r="C10" t="s">
        <v>300</v>
      </c>
      <c r="D10" t="s">
        <v>2</v>
      </c>
      <c r="E10" t="s">
        <v>284</v>
      </c>
      <c r="F10" t="s">
        <v>70</v>
      </c>
      <c r="G10">
        <v>14</v>
      </c>
    </row>
    <row r="11" spans="1:7" x14ac:dyDescent="0.3">
      <c r="A11" t="s">
        <v>178</v>
      </c>
      <c r="B11">
        <v>3</v>
      </c>
      <c r="C11" t="s">
        <v>300</v>
      </c>
      <c r="D11" t="s">
        <v>73</v>
      </c>
      <c r="E11" t="s">
        <v>285</v>
      </c>
      <c r="F11" t="s">
        <v>70</v>
      </c>
      <c r="G11">
        <v>14</v>
      </c>
    </row>
    <row r="12" spans="1:7" x14ac:dyDescent="0.3">
      <c r="A12" t="s">
        <v>178</v>
      </c>
      <c r="B12">
        <v>3</v>
      </c>
      <c r="C12" t="s">
        <v>300</v>
      </c>
      <c r="D12" t="s">
        <v>71</v>
      </c>
      <c r="E12" t="s">
        <v>290</v>
      </c>
      <c r="F12" t="s">
        <v>70</v>
      </c>
      <c r="G12">
        <v>14</v>
      </c>
    </row>
    <row r="13" spans="1:7" x14ac:dyDescent="0.3">
      <c r="A13" t="s">
        <v>178</v>
      </c>
      <c r="B13">
        <v>3</v>
      </c>
      <c r="C13" t="s">
        <v>300</v>
      </c>
      <c r="D13" t="s">
        <v>72</v>
      </c>
      <c r="E13" t="s">
        <v>334</v>
      </c>
      <c r="F13" t="s">
        <v>70</v>
      </c>
      <c r="G13">
        <v>14</v>
      </c>
    </row>
    <row r="14" spans="1:7" x14ac:dyDescent="0.3">
      <c r="A14" t="s">
        <v>178</v>
      </c>
      <c r="B14">
        <v>3</v>
      </c>
      <c r="C14" t="s">
        <v>300</v>
      </c>
      <c r="D14" t="s">
        <v>75</v>
      </c>
      <c r="E14" t="s">
        <v>283</v>
      </c>
      <c r="F14" t="s">
        <v>70</v>
      </c>
      <c r="G14">
        <v>14</v>
      </c>
    </row>
    <row r="15" spans="1:7" x14ac:dyDescent="0.3">
      <c r="A15" t="s">
        <v>178</v>
      </c>
      <c r="B15">
        <v>3</v>
      </c>
      <c r="C15" t="s">
        <v>300</v>
      </c>
      <c r="D15" t="s">
        <v>74</v>
      </c>
      <c r="E15" t="s">
        <v>286</v>
      </c>
      <c r="F15" t="s">
        <v>67</v>
      </c>
      <c r="G15">
        <v>14</v>
      </c>
    </row>
    <row r="16" spans="1:7" x14ac:dyDescent="0.3">
      <c r="A16" t="s">
        <v>178</v>
      </c>
      <c r="B16">
        <v>3</v>
      </c>
      <c r="C16" t="s">
        <v>300</v>
      </c>
      <c r="D16" t="s">
        <v>0</v>
      </c>
      <c r="E16" t="s">
        <v>332</v>
      </c>
      <c r="F16" t="s">
        <v>70</v>
      </c>
      <c r="G16">
        <v>14</v>
      </c>
    </row>
    <row r="17" spans="1:7" x14ac:dyDescent="0.3">
      <c r="A17" t="s">
        <v>178</v>
      </c>
      <c r="B17">
        <v>3</v>
      </c>
      <c r="C17" t="s">
        <v>300</v>
      </c>
      <c r="D17" t="s">
        <v>3</v>
      </c>
      <c r="E17" t="s">
        <v>292</v>
      </c>
      <c r="F17" t="s">
        <v>67</v>
      </c>
      <c r="G17">
        <v>14</v>
      </c>
    </row>
    <row r="18" spans="1:7" x14ac:dyDescent="0.3">
      <c r="A18" t="s">
        <v>178</v>
      </c>
      <c r="B18">
        <v>4</v>
      </c>
      <c r="C18" t="s">
        <v>329</v>
      </c>
      <c r="D18" t="s">
        <v>3</v>
      </c>
      <c r="E18" t="s">
        <v>294</v>
      </c>
      <c r="F18" t="s">
        <v>70</v>
      </c>
      <c r="G18">
        <v>28</v>
      </c>
    </row>
    <row r="19" spans="1:7" x14ac:dyDescent="0.3">
      <c r="A19" t="s">
        <v>178</v>
      </c>
      <c r="B19">
        <v>4</v>
      </c>
      <c r="C19" t="s">
        <v>329</v>
      </c>
      <c r="D19" t="s">
        <v>70</v>
      </c>
      <c r="E19" t="s">
        <v>295</v>
      </c>
      <c r="F19" t="s">
        <v>67</v>
      </c>
      <c r="G19">
        <v>28</v>
      </c>
    </row>
    <row r="20" spans="1:7" x14ac:dyDescent="0.3">
      <c r="A20" t="s">
        <v>178</v>
      </c>
      <c r="B20">
        <v>4</v>
      </c>
      <c r="C20" t="s">
        <v>329</v>
      </c>
      <c r="D20" t="s">
        <v>72</v>
      </c>
      <c r="E20" t="s">
        <v>324</v>
      </c>
      <c r="F20" t="s">
        <v>67</v>
      </c>
      <c r="G20">
        <v>28</v>
      </c>
    </row>
    <row r="21" spans="1:7" x14ac:dyDescent="0.3">
      <c r="A21" t="s">
        <v>178</v>
      </c>
      <c r="B21">
        <v>4</v>
      </c>
      <c r="C21" t="s">
        <v>329</v>
      </c>
      <c r="D21" t="s">
        <v>68</v>
      </c>
      <c r="E21" t="s">
        <v>296</v>
      </c>
      <c r="F21" t="s">
        <v>67</v>
      </c>
      <c r="G21">
        <v>28</v>
      </c>
    </row>
    <row r="22" spans="1:7" x14ac:dyDescent="0.3">
      <c r="A22" t="s">
        <v>178</v>
      </c>
      <c r="B22">
        <v>4</v>
      </c>
      <c r="C22" t="s">
        <v>329</v>
      </c>
      <c r="D22" t="s">
        <v>66</v>
      </c>
      <c r="E22" t="s">
        <v>298</v>
      </c>
      <c r="F22" t="s">
        <v>67</v>
      </c>
      <c r="G22">
        <v>28</v>
      </c>
    </row>
    <row r="23" spans="1:7" x14ac:dyDescent="0.3">
      <c r="A23" t="s">
        <v>178</v>
      </c>
      <c r="B23">
        <v>4</v>
      </c>
      <c r="C23" t="s">
        <v>329</v>
      </c>
      <c r="D23" t="s">
        <v>71</v>
      </c>
      <c r="E23" t="s">
        <v>323</v>
      </c>
      <c r="F23" t="s">
        <v>67</v>
      </c>
      <c r="G23">
        <v>28</v>
      </c>
    </row>
    <row r="24" spans="1:7" x14ac:dyDescent="0.3">
      <c r="A24" t="s">
        <v>178</v>
      </c>
      <c r="B24">
        <v>4</v>
      </c>
      <c r="C24" t="s">
        <v>329</v>
      </c>
      <c r="D24" t="s">
        <v>69</v>
      </c>
      <c r="E24" t="s">
        <v>297</v>
      </c>
      <c r="F24" t="s">
        <v>70</v>
      </c>
      <c r="G24">
        <v>28</v>
      </c>
    </row>
    <row r="25" spans="1:7" x14ac:dyDescent="0.3">
      <c r="A25" t="s">
        <v>178</v>
      </c>
      <c r="B25">
        <v>5</v>
      </c>
      <c r="C25" t="s">
        <v>325</v>
      </c>
      <c r="D25" t="s">
        <v>68</v>
      </c>
      <c r="E25" t="s">
        <v>321</v>
      </c>
      <c r="F25" t="s">
        <v>67</v>
      </c>
      <c r="G25">
        <v>56</v>
      </c>
    </row>
    <row r="26" spans="1:7" x14ac:dyDescent="0.3">
      <c r="A26" t="s">
        <v>178</v>
      </c>
      <c r="B26">
        <v>5</v>
      </c>
      <c r="C26" t="s">
        <v>325</v>
      </c>
      <c r="D26" t="s">
        <v>69</v>
      </c>
      <c r="E26" t="s">
        <v>330</v>
      </c>
      <c r="F26" t="s">
        <v>67</v>
      </c>
      <c r="G26">
        <v>56</v>
      </c>
    </row>
    <row r="27" spans="1:7" x14ac:dyDescent="0.3">
      <c r="A27" t="s">
        <v>178</v>
      </c>
      <c r="B27">
        <v>5</v>
      </c>
      <c r="C27" t="s">
        <v>325</v>
      </c>
      <c r="D27" t="s">
        <v>66</v>
      </c>
      <c r="E27" t="s">
        <v>326</v>
      </c>
      <c r="F27" t="s">
        <v>76</v>
      </c>
      <c r="G27">
        <v>56</v>
      </c>
    </row>
    <row r="28" spans="1:7" x14ac:dyDescent="0.3">
      <c r="A28" t="s">
        <v>178</v>
      </c>
      <c r="B28">
        <v>6</v>
      </c>
      <c r="C28" t="s">
        <v>301</v>
      </c>
      <c r="D28" t="s">
        <v>68</v>
      </c>
      <c r="E28" t="s">
        <v>299</v>
      </c>
      <c r="F28" t="s">
        <v>70</v>
      </c>
      <c r="G28">
        <v>84</v>
      </c>
    </row>
    <row r="29" spans="1:7" x14ac:dyDescent="0.3">
      <c r="A29" t="s">
        <v>178</v>
      </c>
      <c r="B29">
        <v>7</v>
      </c>
      <c r="C29" t="s">
        <v>327</v>
      </c>
      <c r="D29" t="s">
        <v>68</v>
      </c>
      <c r="E29" t="s">
        <v>328</v>
      </c>
      <c r="G29">
        <v>168</v>
      </c>
    </row>
    <row r="30" spans="1:7" x14ac:dyDescent="0.3">
      <c r="A30" t="s">
        <v>178</v>
      </c>
      <c r="B30">
        <v>8</v>
      </c>
      <c r="C30" t="s">
        <v>302</v>
      </c>
      <c r="D30" t="s">
        <v>201</v>
      </c>
      <c r="E30" t="s">
        <v>202</v>
      </c>
      <c r="F30" t="s">
        <v>70</v>
      </c>
      <c r="G30">
        <v>84</v>
      </c>
    </row>
    <row r="31" spans="1:7" x14ac:dyDescent="0.3">
      <c r="A31" t="s">
        <v>178</v>
      </c>
      <c r="B31">
        <v>8</v>
      </c>
      <c r="C31" t="s">
        <v>302</v>
      </c>
      <c r="D31" t="s">
        <v>203</v>
      </c>
      <c r="E31" t="s">
        <v>204</v>
      </c>
      <c r="F31" t="s">
        <v>70</v>
      </c>
      <c r="G31">
        <v>84</v>
      </c>
    </row>
    <row r="32" spans="1:7" x14ac:dyDescent="0.3">
      <c r="A32" t="s">
        <v>178</v>
      </c>
      <c r="B32">
        <v>8</v>
      </c>
      <c r="C32" t="s">
        <v>302</v>
      </c>
      <c r="D32" t="s">
        <v>205</v>
      </c>
      <c r="E32" t="s">
        <v>206</v>
      </c>
      <c r="F32" t="s">
        <v>70</v>
      </c>
      <c r="G32">
        <v>56</v>
      </c>
    </row>
    <row r="33" spans="1:7" x14ac:dyDescent="0.3">
      <c r="A33" t="s">
        <v>178</v>
      </c>
      <c r="B33">
        <v>8</v>
      </c>
      <c r="C33" t="s">
        <v>302</v>
      </c>
      <c r="D33" t="s">
        <v>207</v>
      </c>
      <c r="E33" t="s">
        <v>208</v>
      </c>
      <c r="F33" t="s">
        <v>70</v>
      </c>
      <c r="G33">
        <v>56</v>
      </c>
    </row>
    <row r="34" spans="1:7" x14ac:dyDescent="0.3">
      <c r="A34" t="s">
        <v>178</v>
      </c>
      <c r="B34">
        <v>8</v>
      </c>
      <c r="C34" t="s">
        <v>302</v>
      </c>
      <c r="D34" t="s">
        <v>209</v>
      </c>
      <c r="E34" t="s">
        <v>210</v>
      </c>
      <c r="F34" t="s">
        <v>70</v>
      </c>
      <c r="G34">
        <v>84</v>
      </c>
    </row>
    <row r="35" spans="1:7" x14ac:dyDescent="0.3">
      <c r="A35" t="s">
        <v>178</v>
      </c>
      <c r="B35">
        <v>8</v>
      </c>
      <c r="C35" t="s">
        <v>302</v>
      </c>
      <c r="D35" t="s">
        <v>211</v>
      </c>
      <c r="E35" t="s">
        <v>212</v>
      </c>
      <c r="F35" t="s">
        <v>70</v>
      </c>
      <c r="G35">
        <v>84</v>
      </c>
    </row>
    <row r="36" spans="1:7" x14ac:dyDescent="0.3">
      <c r="A36" t="s">
        <v>178</v>
      </c>
      <c r="B36">
        <v>8</v>
      </c>
      <c r="C36" t="s">
        <v>302</v>
      </c>
      <c r="D36" t="s">
        <v>213</v>
      </c>
      <c r="E36" t="s">
        <v>214</v>
      </c>
      <c r="F36" t="s">
        <v>70</v>
      </c>
      <c r="G36">
        <v>84</v>
      </c>
    </row>
    <row r="37" spans="1:7" x14ac:dyDescent="0.3">
      <c r="A37" t="s">
        <v>178</v>
      </c>
      <c r="B37">
        <v>8</v>
      </c>
      <c r="C37" t="s">
        <v>302</v>
      </c>
      <c r="D37" t="s">
        <v>215</v>
      </c>
      <c r="E37" t="s">
        <v>216</v>
      </c>
      <c r="F37" t="s">
        <v>70</v>
      </c>
      <c r="G37">
        <v>84</v>
      </c>
    </row>
    <row r="38" spans="1:7" x14ac:dyDescent="0.3">
      <c r="A38" t="s">
        <v>178</v>
      </c>
      <c r="B38">
        <v>8</v>
      </c>
      <c r="C38" t="s">
        <v>302</v>
      </c>
      <c r="D38" t="s">
        <v>217</v>
      </c>
      <c r="E38" t="s">
        <v>218</v>
      </c>
      <c r="F38" t="s">
        <v>70</v>
      </c>
      <c r="G38">
        <v>84</v>
      </c>
    </row>
    <row r="39" spans="1:7" x14ac:dyDescent="0.3">
      <c r="A39" t="s">
        <v>178</v>
      </c>
      <c r="B39">
        <v>8</v>
      </c>
      <c r="C39" t="s">
        <v>302</v>
      </c>
      <c r="D39" t="s">
        <v>219</v>
      </c>
      <c r="E39" t="s">
        <v>220</v>
      </c>
      <c r="F39" t="s">
        <v>70</v>
      </c>
      <c r="G39">
        <v>84</v>
      </c>
    </row>
    <row r="40" spans="1:7" x14ac:dyDescent="0.3">
      <c r="A40" t="s">
        <v>178</v>
      </c>
      <c r="B40">
        <v>8</v>
      </c>
      <c r="C40" t="s">
        <v>302</v>
      </c>
      <c r="D40" t="s">
        <v>221</v>
      </c>
      <c r="E40" t="s">
        <v>222</v>
      </c>
      <c r="F40" t="s">
        <v>70</v>
      </c>
      <c r="G40">
        <v>84</v>
      </c>
    </row>
    <row r="41" spans="1:7" x14ac:dyDescent="0.3">
      <c r="A41" t="s">
        <v>178</v>
      </c>
      <c r="B41">
        <v>8</v>
      </c>
      <c r="C41" t="s">
        <v>302</v>
      </c>
      <c r="D41" t="s">
        <v>223</v>
      </c>
      <c r="E41" t="s">
        <v>224</v>
      </c>
      <c r="F41" t="s">
        <v>70</v>
      </c>
      <c r="G41">
        <v>84</v>
      </c>
    </row>
    <row r="42" spans="1:7" x14ac:dyDescent="0.3">
      <c r="A42" t="s">
        <v>178</v>
      </c>
      <c r="B42">
        <v>8</v>
      </c>
      <c r="C42" t="s">
        <v>302</v>
      </c>
      <c r="D42" t="s">
        <v>225</v>
      </c>
      <c r="E42" t="s">
        <v>226</v>
      </c>
      <c r="F42" t="s">
        <v>70</v>
      </c>
      <c r="G42">
        <v>84</v>
      </c>
    </row>
    <row r="43" spans="1:7" x14ac:dyDescent="0.3">
      <c r="A43" t="s">
        <v>178</v>
      </c>
      <c r="B43">
        <v>8</v>
      </c>
      <c r="C43" t="s">
        <v>302</v>
      </c>
      <c r="D43" t="s">
        <v>227</v>
      </c>
      <c r="E43" t="s">
        <v>228</v>
      </c>
      <c r="F43" t="s">
        <v>70</v>
      </c>
      <c r="G43">
        <v>84</v>
      </c>
    </row>
    <row r="44" spans="1:7" x14ac:dyDescent="0.3">
      <c r="A44" t="s">
        <v>178</v>
      </c>
      <c r="B44">
        <v>8</v>
      </c>
      <c r="C44" t="s">
        <v>302</v>
      </c>
      <c r="D44" t="s">
        <v>229</v>
      </c>
      <c r="E44" t="s">
        <v>230</v>
      </c>
      <c r="F44" t="s">
        <v>70</v>
      </c>
      <c r="G44">
        <v>84</v>
      </c>
    </row>
    <row r="45" spans="1:7" x14ac:dyDescent="0.3">
      <c r="A45" t="s">
        <v>178</v>
      </c>
      <c r="B45">
        <v>8</v>
      </c>
      <c r="C45" t="s">
        <v>302</v>
      </c>
      <c r="D45" t="s">
        <v>231</v>
      </c>
      <c r="E45" t="s">
        <v>232</v>
      </c>
      <c r="F45" t="s">
        <v>70</v>
      </c>
      <c r="G45">
        <v>84</v>
      </c>
    </row>
    <row r="46" spans="1:7" x14ac:dyDescent="0.3">
      <c r="A46" t="s">
        <v>178</v>
      </c>
      <c r="B46">
        <v>8</v>
      </c>
      <c r="C46" t="s">
        <v>302</v>
      </c>
      <c r="D46" t="s">
        <v>233</v>
      </c>
      <c r="E46" t="s">
        <v>234</v>
      </c>
      <c r="F46" t="s">
        <v>70</v>
      </c>
      <c r="G46">
        <v>56</v>
      </c>
    </row>
    <row r="47" spans="1:7" x14ac:dyDescent="0.3">
      <c r="A47" t="s">
        <v>178</v>
      </c>
      <c r="B47">
        <v>8</v>
      </c>
      <c r="C47" t="s">
        <v>302</v>
      </c>
      <c r="D47" t="s">
        <v>235</v>
      </c>
      <c r="E47" t="s">
        <v>236</v>
      </c>
      <c r="F47" t="s">
        <v>70</v>
      </c>
      <c r="G47">
        <v>84</v>
      </c>
    </row>
    <row r="48" spans="1:7" x14ac:dyDescent="0.3">
      <c r="A48" t="s">
        <v>178</v>
      </c>
      <c r="B48">
        <v>8</v>
      </c>
      <c r="C48" t="s">
        <v>302</v>
      </c>
      <c r="D48" t="s">
        <v>237</v>
      </c>
      <c r="E48" t="s">
        <v>238</v>
      </c>
      <c r="F48" t="s">
        <v>70</v>
      </c>
      <c r="G48">
        <v>84</v>
      </c>
    </row>
    <row r="49" spans="1:7" x14ac:dyDescent="0.3">
      <c r="A49" t="s">
        <v>178</v>
      </c>
      <c r="B49">
        <v>8</v>
      </c>
      <c r="C49" t="s">
        <v>302</v>
      </c>
      <c r="D49" t="s">
        <v>239</v>
      </c>
      <c r="E49" t="s">
        <v>240</v>
      </c>
      <c r="F49" t="s">
        <v>70</v>
      </c>
      <c r="G49">
        <v>84</v>
      </c>
    </row>
    <row r="50" spans="1:7" x14ac:dyDescent="0.3">
      <c r="A50" t="s">
        <v>178</v>
      </c>
      <c r="B50">
        <v>8</v>
      </c>
      <c r="C50" t="s">
        <v>302</v>
      </c>
      <c r="D50" t="s">
        <v>241</v>
      </c>
      <c r="E50" t="s">
        <v>242</v>
      </c>
      <c r="F50" t="s">
        <v>70</v>
      </c>
      <c r="G50">
        <v>84</v>
      </c>
    </row>
    <row r="51" spans="1:7" x14ac:dyDescent="0.3">
      <c r="A51" t="s">
        <v>178</v>
      </c>
      <c r="B51">
        <v>8</v>
      </c>
      <c r="C51" t="s">
        <v>302</v>
      </c>
      <c r="D51" t="s">
        <v>243</v>
      </c>
      <c r="E51" t="s">
        <v>244</v>
      </c>
      <c r="F51" t="s">
        <v>70</v>
      </c>
      <c r="G51">
        <v>84</v>
      </c>
    </row>
    <row r="52" spans="1:7" x14ac:dyDescent="0.3">
      <c r="A52" t="s">
        <v>178</v>
      </c>
      <c r="B52">
        <v>8</v>
      </c>
      <c r="C52" t="s">
        <v>302</v>
      </c>
      <c r="D52" t="s">
        <v>245</v>
      </c>
      <c r="E52" t="s">
        <v>246</v>
      </c>
      <c r="F52" t="s">
        <v>70</v>
      </c>
      <c r="G52">
        <v>84</v>
      </c>
    </row>
    <row r="53" spans="1:7" x14ac:dyDescent="0.3">
      <c r="A53" t="s">
        <v>178</v>
      </c>
      <c r="B53">
        <v>8</v>
      </c>
      <c r="C53" t="s">
        <v>302</v>
      </c>
      <c r="D53" t="s">
        <v>247</v>
      </c>
      <c r="E53" t="s">
        <v>248</v>
      </c>
      <c r="F53" t="s">
        <v>70</v>
      </c>
      <c r="G53">
        <v>84</v>
      </c>
    </row>
    <row r="54" spans="1:7" x14ac:dyDescent="0.3">
      <c r="A54" t="s">
        <v>178</v>
      </c>
      <c r="B54">
        <v>8</v>
      </c>
      <c r="C54" t="s">
        <v>302</v>
      </c>
      <c r="D54" t="s">
        <v>249</v>
      </c>
      <c r="E54" t="s">
        <v>250</v>
      </c>
      <c r="F54" t="s">
        <v>70</v>
      </c>
      <c r="G54">
        <v>84</v>
      </c>
    </row>
    <row r="55" spans="1:7" x14ac:dyDescent="0.3">
      <c r="A55" t="s">
        <v>178</v>
      </c>
      <c r="B55">
        <v>8</v>
      </c>
      <c r="C55" t="s">
        <v>302</v>
      </c>
      <c r="D55" t="s">
        <v>251</v>
      </c>
      <c r="E55" t="s">
        <v>252</v>
      </c>
      <c r="F55" t="s">
        <v>70</v>
      </c>
      <c r="G55">
        <v>84</v>
      </c>
    </row>
    <row r="56" spans="1:7" x14ac:dyDescent="0.3">
      <c r="A56" t="s">
        <v>178</v>
      </c>
      <c r="B56">
        <v>8</v>
      </c>
      <c r="C56" t="s">
        <v>302</v>
      </c>
      <c r="D56" t="s">
        <v>253</v>
      </c>
      <c r="E56" t="s">
        <v>254</v>
      </c>
      <c r="F56" t="s">
        <v>70</v>
      </c>
      <c r="G56">
        <v>84</v>
      </c>
    </row>
    <row r="57" spans="1:7" x14ac:dyDescent="0.3">
      <c r="A57" t="s">
        <v>178</v>
      </c>
      <c r="B57">
        <v>8</v>
      </c>
      <c r="C57" t="s">
        <v>302</v>
      </c>
      <c r="D57" t="s">
        <v>255</v>
      </c>
      <c r="E57" t="s">
        <v>256</v>
      </c>
      <c r="F57" t="s">
        <v>70</v>
      </c>
      <c r="G57">
        <v>84</v>
      </c>
    </row>
    <row r="58" spans="1:7" x14ac:dyDescent="0.3">
      <c r="A58" t="s">
        <v>178</v>
      </c>
      <c r="B58">
        <v>8</v>
      </c>
      <c r="C58" t="s">
        <v>302</v>
      </c>
      <c r="D58" t="s">
        <v>257</v>
      </c>
      <c r="E58" t="s">
        <v>258</v>
      </c>
      <c r="F58" t="s">
        <v>70</v>
      </c>
      <c r="G58">
        <v>84</v>
      </c>
    </row>
    <row r="59" spans="1:7" x14ac:dyDescent="0.3">
      <c r="A59" t="s">
        <v>178</v>
      </c>
      <c r="B59">
        <v>8</v>
      </c>
      <c r="C59" t="s">
        <v>302</v>
      </c>
      <c r="D59" t="s">
        <v>259</v>
      </c>
      <c r="E59" t="s">
        <v>260</v>
      </c>
      <c r="F59" t="s">
        <v>70</v>
      </c>
      <c r="G59">
        <v>84</v>
      </c>
    </row>
    <row r="60" spans="1:7" x14ac:dyDescent="0.3">
      <c r="A60" t="s">
        <v>178</v>
      </c>
      <c r="B60">
        <v>8</v>
      </c>
      <c r="C60" t="s">
        <v>302</v>
      </c>
      <c r="D60" t="s">
        <v>261</v>
      </c>
      <c r="E60" t="s">
        <v>262</v>
      </c>
      <c r="F60" t="s">
        <v>70</v>
      </c>
      <c r="G60">
        <v>84</v>
      </c>
    </row>
    <row r="61" spans="1:7" x14ac:dyDescent="0.3">
      <c r="A61" t="s">
        <v>178</v>
      </c>
      <c r="B61">
        <v>8</v>
      </c>
      <c r="C61" t="s">
        <v>302</v>
      </c>
      <c r="D61" t="s">
        <v>263</v>
      </c>
      <c r="E61" t="s">
        <v>264</v>
      </c>
      <c r="F61" t="s">
        <v>70</v>
      </c>
      <c r="G61">
        <v>56</v>
      </c>
    </row>
    <row r="62" spans="1:7" x14ac:dyDescent="0.3">
      <c r="A62" t="s">
        <v>178</v>
      </c>
      <c r="B62">
        <v>8</v>
      </c>
      <c r="C62" t="s">
        <v>302</v>
      </c>
      <c r="D62" t="s">
        <v>265</v>
      </c>
      <c r="E62" t="s">
        <v>266</v>
      </c>
      <c r="F62" t="s">
        <v>70</v>
      </c>
      <c r="G62">
        <v>84</v>
      </c>
    </row>
    <row r="63" spans="1:7" x14ac:dyDescent="0.3">
      <c r="A63" t="s">
        <v>178</v>
      </c>
      <c r="B63">
        <v>8</v>
      </c>
      <c r="C63" t="s">
        <v>302</v>
      </c>
      <c r="D63" t="s">
        <v>267</v>
      </c>
      <c r="E63" t="s">
        <v>268</v>
      </c>
      <c r="F63" t="s">
        <v>70</v>
      </c>
      <c r="G63">
        <v>84</v>
      </c>
    </row>
    <row r="64" spans="1:7" x14ac:dyDescent="0.3">
      <c r="A64" t="s">
        <v>178</v>
      </c>
      <c r="B64">
        <v>8</v>
      </c>
      <c r="C64" t="s">
        <v>302</v>
      </c>
      <c r="D64" t="s">
        <v>269</v>
      </c>
      <c r="E64" t="s">
        <v>270</v>
      </c>
      <c r="F64" t="s">
        <v>70</v>
      </c>
      <c r="G64">
        <v>84</v>
      </c>
    </row>
    <row r="65" spans="1:7" x14ac:dyDescent="0.3">
      <c r="A65" t="s">
        <v>178</v>
      </c>
      <c r="B65">
        <v>8</v>
      </c>
      <c r="C65" t="s">
        <v>302</v>
      </c>
      <c r="D65" t="s">
        <v>271</v>
      </c>
      <c r="E65" t="s">
        <v>272</v>
      </c>
      <c r="F65" t="s">
        <v>70</v>
      </c>
      <c r="G65">
        <v>84</v>
      </c>
    </row>
    <row r="66" spans="1:7" x14ac:dyDescent="0.3">
      <c r="A66" t="s">
        <v>178</v>
      </c>
      <c r="B66">
        <v>8</v>
      </c>
      <c r="C66" t="s">
        <v>302</v>
      </c>
      <c r="D66" t="s">
        <v>273</v>
      </c>
      <c r="E66" t="s">
        <v>274</v>
      </c>
      <c r="F66" t="s">
        <v>70</v>
      </c>
      <c r="G66">
        <v>84</v>
      </c>
    </row>
  </sheetData>
  <sortState ref="A1:G41">
    <sortCondition ref="B1:B50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Cobas PRO (2)</vt:lpstr>
      <vt:lpstr>c501</vt:lpstr>
      <vt:lpstr>Cobas PRO</vt:lpstr>
      <vt:lpstr>Cobas PRO Perso</vt:lpstr>
      <vt:lpstr>cobas 6000</vt:lpstr>
      <vt:lpstr>cobas 8000</vt:lpstr>
      <vt:lpstr>Integra 400</vt:lpstr>
      <vt:lpstr>Utilisation</vt:lpstr>
      <vt:lpstr>MPL 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stephane.roussin@roche.com</dc:creator>
  <cp:lastModifiedBy>Roussin, Stephane {DEFC~Meylan}</cp:lastModifiedBy>
  <cp:lastPrinted>2017-10-13T20:12:44Z</cp:lastPrinted>
  <dcterms:created xsi:type="dcterms:W3CDTF">2013-06-06T12:00:00Z</dcterms:created>
  <dcterms:modified xsi:type="dcterms:W3CDTF">2020-06-15T17:17:05Z</dcterms:modified>
</cp:coreProperties>
</file>